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day Batch" sheetId="1" state="visible" r:id="rId1"/>
  </sheets>
  <definedNames>
    <definedName name="_xlnm._FilterDatabase" localSheetId="0" hidden="1">'Monday Batch'!$A$1:$AE$37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50" customWidth="1" min="4" max="4"/>
    <col width="31" customWidth="1" min="5" max="5"/>
    <col width="28" customWidth="1" min="6" max="6"/>
    <col width="28" customWidth="1" min="7" max="7"/>
    <col width="50" customWidth="1" min="8" max="8"/>
    <col width="50" customWidth="1" min="9" max="9"/>
    <col width="42" customWidth="1" min="10" max="10"/>
    <col width="39" customWidth="1" min="11" max="11"/>
    <col width="39" customWidth="1" min="12" max="12"/>
    <col width="50" customWidth="1" min="13" max="13"/>
    <col width="50" customWidth="1" min="14" max="14"/>
    <col width="22" customWidth="1" min="15" max="15"/>
    <col width="19" customWidth="1" min="16" max="16"/>
    <col width="19" customWidth="1" min="17" max="17"/>
    <col width="50" customWidth="1" min="18" max="18"/>
    <col width="50" customWidth="1" min="19" max="19"/>
    <col width="40" customWidth="1" min="20" max="20"/>
    <col width="37" customWidth="1" min="21" max="21"/>
    <col width="37" customWidth="1" min="22" max="22"/>
    <col width="50" customWidth="1" min="23" max="23"/>
    <col width="50" customWidth="1" min="24" max="24"/>
    <col width="24" customWidth="1" min="25" max="25"/>
    <col width="21" customWidth="1" min="26" max="26"/>
    <col width="21" customWidth="1" min="27" max="27"/>
    <col width="25" customWidth="1" min="28" max="28"/>
    <col width="21" customWidth="1" min="29" max="29"/>
    <col width="50" customWidth="1" min="30" max="30"/>
    <col width="15" customWidth="1" min="31" max="31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Project Group</t>
        </is>
      </c>
      <c r="D1" s="1" t="inlineStr">
        <is>
          <t>Presentation Title</t>
        </is>
      </c>
      <c r="E1" s="1" t="inlineStr">
        <is>
          <t>Organization (10) (Kiran V K)</t>
        </is>
      </c>
      <c r="F1" s="1" t="inlineStr">
        <is>
          <t>Organization (10) (Shilpa)</t>
        </is>
      </c>
      <c r="G1" s="1" t="inlineStr">
        <is>
          <t>Organization (10) (Usha K)</t>
        </is>
      </c>
      <c r="H1" s="1" t="inlineStr">
        <is>
          <t>Avg Organization (10)</t>
        </is>
      </c>
      <c r="I1" s="1" t="inlineStr">
        <is>
          <t>Δ Organization (10)</t>
        </is>
      </c>
      <c r="J1" s="1" t="inlineStr">
        <is>
          <t>Clarity &amp; Communication (10) (Kiran V K)</t>
        </is>
      </c>
      <c r="K1" s="1" t="inlineStr">
        <is>
          <t>Clarity &amp; Communication (10) (Shilpa)</t>
        </is>
      </c>
      <c r="L1" s="1" t="inlineStr">
        <is>
          <t>Clarity &amp; Communication (10) (Usha K)</t>
        </is>
      </c>
      <c r="M1" s="1" t="inlineStr">
        <is>
          <t>Avg Clarity &amp; Communication (10)</t>
        </is>
      </c>
      <c r="N1" s="1" t="inlineStr">
        <is>
          <t>Δ Clarity &amp; Communication (10)</t>
        </is>
      </c>
      <c r="O1" s="1" t="inlineStr">
        <is>
          <t>Q&amp;A (10) (Kiran V K)</t>
        </is>
      </c>
      <c r="P1" s="1" t="inlineStr">
        <is>
          <t>Q&amp;A (10) (Shilpa)</t>
        </is>
      </c>
      <c r="Q1" s="1" t="inlineStr">
        <is>
          <t>Q&amp;A (10) (Usha K)</t>
        </is>
      </c>
      <c r="R1" s="1" t="inlineStr">
        <is>
          <t>Avg Q&amp;A (10)</t>
        </is>
      </c>
      <c r="S1" s="1" t="inlineStr">
        <is>
          <t>Δ Q&amp;A (10)</t>
        </is>
      </c>
      <c r="T1" s="1" t="inlineStr">
        <is>
          <t>Overall Participation (10) (Kiran V K)</t>
        </is>
      </c>
      <c r="U1" s="1" t="inlineStr">
        <is>
          <t>Overall Participation (10) (Shilpa)</t>
        </is>
      </c>
      <c r="V1" s="1" t="inlineStr">
        <is>
          <t>Overall Participation (10) (Usha K)</t>
        </is>
      </c>
      <c r="W1" s="1" t="inlineStr">
        <is>
          <t>Avg Overall Participation (10)</t>
        </is>
      </c>
      <c r="X1" s="1" t="inlineStr">
        <is>
          <t>Δ Overall Participation (10)</t>
        </is>
      </c>
      <c r="Y1" s="1" t="inlineStr">
        <is>
          <t>Total (40) (Kiran V K)</t>
        </is>
      </c>
      <c r="Z1" s="1" t="inlineStr">
        <is>
          <t>Total (40) (Shilpa)</t>
        </is>
      </c>
      <c r="AA1" s="1" t="inlineStr">
        <is>
          <t>Total (40) (Usha K)</t>
        </is>
      </c>
      <c r="AB1" s="1" t="inlineStr">
        <is>
          <t>Consolidated Total (40)</t>
        </is>
      </c>
      <c r="AC1" s="1" t="inlineStr">
        <is>
          <t>Guide Name</t>
        </is>
      </c>
      <c r="AD1" s="1" t="inlineStr">
        <is>
          <t>Flag</t>
        </is>
      </c>
      <c r="AE1" s="1" t="inlineStr">
        <is>
          <t>Match Quality</t>
        </is>
      </c>
    </row>
    <row r="2">
      <c r="A2" t="inlineStr">
        <is>
          <t>11</t>
        </is>
      </c>
      <c r="B2" t="inlineStr">
        <is>
          <t>Akshara Mohanan</t>
        </is>
      </c>
      <c r="C2" t="n">
        <v/>
      </c>
      <c r="D2" t="inlineStr">
        <is>
          <t>Ethical and Privacy Challenges in Robotic Systems</t>
        </is>
      </c>
      <c r="E2" s="2" t="n"/>
      <c r="F2" s="2" t="n"/>
      <c r="G2" s="2" t="n">
        <v>9</v>
      </c>
      <c r="H2" s="3">
        <f>IF(COUNTA(E2,F2,G2)=0,"",AVERAGE(E2,F2,G2))</f>
        <v/>
      </c>
      <c r="I2" s="3">
        <f>IF(COUNTA(E2,F2,G2)&lt;2,"",MAX(E2,F2,G2)-MIN(E2,F2,G2))</f>
        <v/>
      </c>
      <c r="J2" s="2" t="n"/>
      <c r="K2" s="2" t="n"/>
      <c r="L2" s="2" t="n">
        <v>10</v>
      </c>
      <c r="M2" s="3">
        <f>IF(COUNTA(J2,K2,L2)=0,"",AVERAGE(J2,K2,L2))</f>
        <v/>
      </c>
      <c r="N2" s="3">
        <f>IF(COUNTA(J2,K2,L2)&lt;2,"",MAX(J2,K2,L2)-MIN(J2,K2,L2))</f>
        <v/>
      </c>
      <c r="O2" s="2" t="n"/>
      <c r="P2" s="2" t="n">
        <v>1</v>
      </c>
      <c r="Q2" s="2" t="n">
        <v>10</v>
      </c>
      <c r="R2" s="3">
        <f>IF(COUNTA(O2,P2,Q2)=0,"",AVERAGE(O2,P2,Q2))</f>
        <v/>
      </c>
      <c r="S2" s="3">
        <f>IF(COUNTA(O2,P2,Q2)&lt;2,"",MAX(O2,P2,Q2)-MIN(O2,P2,Q2))</f>
        <v/>
      </c>
      <c r="T2" s="2" t="n">
        <v>1</v>
      </c>
      <c r="U2" s="2" t="n"/>
      <c r="V2" s="2" t="n">
        <v>10</v>
      </c>
      <c r="W2" s="3">
        <f>IF(COUNTA(T2,U2,V2)=0,"",AVERAGE(T2,U2,V2))</f>
        <v/>
      </c>
      <c r="X2" s="3">
        <f>IF(COUNTA(T2,U2,V2)&lt;2,"",MAX(T2,U2,V2)-MIN(T2,U2,V2))</f>
        <v/>
      </c>
      <c r="Y2" t="n">
        <v>0</v>
      </c>
      <c r="Z2" t="n">
        <v>0</v>
      </c>
      <c r="AA2" t="n">
        <v>39</v>
      </c>
      <c r="AB2" s="3">
        <f>SUM(H2,M2,R2,W2)</f>
        <v/>
      </c>
      <c r="AC2" t="inlineStr">
        <is>
          <t>SKS</t>
        </is>
      </c>
      <c r="AD2">
        <f>IF(OR(I2&gt;2,N2&gt;2,S2&gt;2,X2&gt;2),"check variance","")</f>
        <v/>
      </c>
      <c r="AE2" t="inlineStr">
        <is>
          <t>roll</t>
        </is>
      </c>
    </row>
    <row r="3">
      <c r="A3" t="inlineStr">
        <is>
          <t>12</t>
        </is>
      </c>
      <c r="B3" t="inlineStr">
        <is>
          <t>Aleena Joseph</t>
        </is>
      </c>
      <c r="C3" t="n">
        <v/>
      </c>
      <c r="D3" t="inlineStr">
        <is>
          <t>A Multi-Layered Architectural Framework for the Internet of Robotic Things</t>
        </is>
      </c>
      <c r="E3" s="2" t="n"/>
      <c r="F3" s="2" t="n"/>
      <c r="G3" s="2" t="n">
        <v>10</v>
      </c>
      <c r="H3" s="3">
        <f>IF(COUNTA(E3,F3,G3)=0,"",AVERAGE(E3,F3,G3))</f>
        <v/>
      </c>
      <c r="I3" s="3">
        <f>IF(COUNTA(E3,F3,G3)&lt;2,"",MAX(E3,F3,G3)-MIN(E3,F3,G3))</f>
        <v/>
      </c>
      <c r="J3" s="2" t="n"/>
      <c r="K3" s="2" t="n"/>
      <c r="L3" s="2" t="n">
        <v>10</v>
      </c>
      <c r="M3" s="3">
        <f>IF(COUNTA(J3,K3,L3)=0,"",AVERAGE(J3,K3,L3))</f>
        <v/>
      </c>
      <c r="N3" s="3">
        <f>IF(COUNTA(J3,K3,L3)&lt;2,"",MAX(J3,K3,L3)-MIN(J3,K3,L3))</f>
        <v/>
      </c>
      <c r="O3" s="2" t="n"/>
      <c r="P3" s="2" t="n"/>
      <c r="Q3" s="2" t="n">
        <v>10</v>
      </c>
      <c r="R3" s="3">
        <f>IF(COUNTA(O3,P3,Q3)=0,"",AVERAGE(O3,P3,Q3))</f>
        <v/>
      </c>
      <c r="S3" s="3">
        <f>IF(COUNTA(O3,P3,Q3)&lt;2,"",MAX(O3,P3,Q3)-MIN(O3,P3,Q3))</f>
        <v/>
      </c>
      <c r="T3" s="2" t="n">
        <v>2</v>
      </c>
      <c r="U3" s="2" t="n"/>
      <c r="V3" s="2" t="n">
        <v>10</v>
      </c>
      <c r="W3" s="3">
        <f>IF(COUNTA(T3,U3,V3)=0,"",AVERAGE(T3,U3,V3))</f>
        <v/>
      </c>
      <c r="X3" s="3">
        <f>IF(COUNTA(T3,U3,V3)&lt;2,"",MAX(T3,U3,V3)-MIN(T3,U3,V3))</f>
        <v/>
      </c>
      <c r="Y3" t="n">
        <v>0</v>
      </c>
      <c r="Z3" t="n">
        <v>0</v>
      </c>
      <c r="AA3" t="n">
        <v>40</v>
      </c>
      <c r="AB3" s="3">
        <f>SUM(H3,M3,R3,W3)</f>
        <v/>
      </c>
      <c r="AC3" t="inlineStr">
        <is>
          <t>SKS</t>
        </is>
      </c>
      <c r="AD3">
        <f>IF(OR(I3&gt;2,N3&gt;2,S3&gt;2,X3&gt;2),"check variance","")</f>
        <v/>
      </c>
      <c r="AE3" t="inlineStr">
        <is>
          <t>roll</t>
        </is>
      </c>
    </row>
    <row r="4">
      <c r="A4" t="inlineStr">
        <is>
          <t>17</t>
        </is>
      </c>
      <c r="B4" t="inlineStr">
        <is>
          <t>Anjana S</t>
        </is>
      </c>
      <c r="C4" t="n">
        <v/>
      </c>
      <c r="D4" t="inlineStr">
        <is>
          <t>Intrusion detection system in iot</t>
        </is>
      </c>
      <c r="E4" s="2" t="n"/>
      <c r="F4" s="2" t="n"/>
      <c r="G4" s="2" t="n"/>
      <c r="H4" s="3">
        <f>IF(COUNTA(E4,F4,G4)=0,"",AVERAGE(E4,F4,G4))</f>
        <v/>
      </c>
      <c r="I4" s="3">
        <f>IF(COUNTA(E4,F4,G4)&lt;2,"",MAX(E4,F4,G4)-MIN(E4,F4,G4))</f>
        <v/>
      </c>
      <c r="J4" s="2" t="n"/>
      <c r="K4" s="2" t="n"/>
      <c r="L4" s="2" t="n"/>
      <c r="M4" s="3">
        <f>IF(COUNTA(J4,K4,L4)=0,"",AVERAGE(J4,K4,L4))</f>
        <v/>
      </c>
      <c r="N4" s="3">
        <f>IF(COUNTA(J4,K4,L4)&lt;2,"",MAX(J4,K4,L4)-MIN(J4,K4,L4))</f>
        <v/>
      </c>
      <c r="O4" s="2" t="n"/>
      <c r="P4" s="2" t="n">
        <v>1</v>
      </c>
      <c r="Q4" s="2" t="n"/>
      <c r="R4" s="3">
        <f>IF(COUNTA(O4,P4,Q4)=0,"",AVERAGE(O4,P4,Q4))</f>
        <v/>
      </c>
      <c r="S4" s="3">
        <f>IF(COUNTA(O4,P4,Q4)&lt;2,"",MAX(O4,P4,Q4)-MIN(O4,P4,Q4))</f>
        <v/>
      </c>
      <c r="T4" s="2" t="n">
        <v>2</v>
      </c>
      <c r="U4" s="2" t="n"/>
      <c r="V4" s="2" t="n"/>
      <c r="W4" s="3">
        <f>IF(COUNTA(T4,U4,V4)=0,"",AVERAGE(T4,U4,V4))</f>
        <v/>
      </c>
      <c r="X4" s="3">
        <f>IF(COUNTA(T4,U4,V4)&lt;2,"",MAX(T4,U4,V4)-MIN(T4,U4,V4))</f>
        <v/>
      </c>
      <c r="Y4" t="n">
        <v>0</v>
      </c>
      <c r="Z4" t="n">
        <v>0</v>
      </c>
      <c r="AA4" t="n">
        <v>0</v>
      </c>
      <c r="AB4" s="3">
        <f>SUM(H4,M4,R4,W4)</f>
        <v/>
      </c>
      <c r="AC4" t="inlineStr">
        <is>
          <t>VK</t>
        </is>
      </c>
      <c r="AD4">
        <f>IF(OR(I4&gt;2,N4&gt;2,S4&gt;2,X4&gt;2),"check variance","")</f>
        <v/>
      </c>
      <c r="AE4" t="inlineStr">
        <is>
          <t>roll</t>
        </is>
      </c>
    </row>
    <row r="5">
      <c r="A5" t="inlineStr">
        <is>
          <t>18</t>
        </is>
      </c>
      <c r="B5" t="inlineStr">
        <is>
          <t>Anjithkrishnan K</t>
        </is>
      </c>
      <c r="C5" t="n">
        <v/>
      </c>
      <c r="D5" t="inlineStr">
        <is>
          <t>OSINT &amp; Social Engineering: Human Element of Cybersecurity</t>
        </is>
      </c>
      <c r="E5" s="2" t="n">
        <v>8</v>
      </c>
      <c r="F5" s="2" t="n"/>
      <c r="G5" s="2" t="n">
        <v>9</v>
      </c>
      <c r="H5" s="3">
        <f>IF(COUNTA(E5,F5,G5)=0,"",AVERAGE(E5,F5,G5))</f>
        <v/>
      </c>
      <c r="I5" s="3">
        <f>IF(COUNTA(E5,F5,G5)&lt;2,"",MAX(E5,F5,G5)-MIN(E5,F5,G5))</f>
        <v/>
      </c>
      <c r="J5" s="2" t="n">
        <v>8</v>
      </c>
      <c r="K5" s="2" t="n"/>
      <c r="L5" s="2" t="n">
        <v>8</v>
      </c>
      <c r="M5" s="3">
        <f>IF(COUNTA(J5,K5,L5)=0,"",AVERAGE(J5,K5,L5))</f>
        <v/>
      </c>
      <c r="N5" s="3">
        <f>IF(COUNTA(J5,K5,L5)&lt;2,"",MAX(J5,K5,L5)-MIN(J5,K5,L5))</f>
        <v/>
      </c>
      <c r="O5" s="2" t="n">
        <v>6</v>
      </c>
      <c r="P5" s="2" t="n"/>
      <c r="Q5" s="2" t="n">
        <v>8</v>
      </c>
      <c r="R5" s="3">
        <f>IF(COUNTA(O5,P5,Q5)=0,"",AVERAGE(O5,P5,Q5))</f>
        <v/>
      </c>
      <c r="S5" s="3">
        <f>IF(COUNTA(O5,P5,Q5)&lt;2,"",MAX(O5,P5,Q5)-MIN(O5,P5,Q5))</f>
        <v/>
      </c>
      <c r="T5" s="2" t="n">
        <v>1</v>
      </c>
      <c r="U5" s="2" t="n"/>
      <c r="V5" s="2" t="n">
        <v>9</v>
      </c>
      <c r="W5" s="3">
        <f>IF(COUNTA(T5,U5,V5)=0,"",AVERAGE(T5,U5,V5))</f>
        <v/>
      </c>
      <c r="X5" s="3">
        <f>IF(COUNTA(T5,U5,V5)&lt;2,"",MAX(T5,U5,V5)-MIN(T5,U5,V5))</f>
        <v/>
      </c>
      <c r="Y5" t="n">
        <v>0</v>
      </c>
      <c r="Z5" t="n">
        <v>0</v>
      </c>
      <c r="AA5" t="n">
        <v>34</v>
      </c>
      <c r="AB5" s="3">
        <f>SUM(H5,M5,R5,W5)</f>
        <v/>
      </c>
      <c r="AC5" t="inlineStr">
        <is>
          <t>Dr Maya Mohan</t>
        </is>
      </c>
      <c r="AD5">
        <f>IF(OR(I5&gt;2,N5&gt;2,S5&gt;2,X5&gt;2),"check variance","")</f>
        <v/>
      </c>
      <c r="AE5" t="inlineStr">
        <is>
          <t>roll</t>
        </is>
      </c>
    </row>
    <row r="6">
      <c r="A6" t="inlineStr">
        <is>
          <t>22</t>
        </is>
      </c>
      <c r="B6" t="inlineStr">
        <is>
          <t>Arun V</t>
        </is>
      </c>
      <c r="C6" t="n">
        <v/>
      </c>
      <c r="D6" t="inlineStr">
        <is>
          <t>Bloom Filter-Based Data Integrity Verification in Cloud Storage</t>
        </is>
      </c>
      <c r="E6" s="2" t="n">
        <v>8</v>
      </c>
      <c r="F6" s="2" t="n"/>
      <c r="G6" s="2" t="n">
        <v>9</v>
      </c>
      <c r="H6" s="3">
        <f>IF(COUNTA(E6,F6,G6)=0,"",AVERAGE(E6,F6,G6))</f>
        <v/>
      </c>
      <c r="I6" s="3">
        <f>IF(COUNTA(E6,F6,G6)&lt;2,"",MAX(E6,F6,G6)-MIN(E6,F6,G6))</f>
        <v/>
      </c>
      <c r="J6" s="2" t="n">
        <v>7</v>
      </c>
      <c r="K6" s="2" t="n"/>
      <c r="L6" s="2" t="n">
        <v>9</v>
      </c>
      <c r="M6" s="3">
        <f>IF(COUNTA(J6,K6,L6)=0,"",AVERAGE(J6,K6,L6))</f>
        <v/>
      </c>
      <c r="N6" s="3">
        <f>IF(COUNTA(J6,K6,L6)&lt;2,"",MAX(J6,K6,L6)-MIN(J6,K6,L6))</f>
        <v/>
      </c>
      <c r="O6" s="2" t="n">
        <v>7</v>
      </c>
      <c r="P6" s="2" t="n">
        <v>1</v>
      </c>
      <c r="Q6" s="2" t="n">
        <v>8</v>
      </c>
      <c r="R6" s="3">
        <f>IF(COUNTA(O6,P6,Q6)=0,"",AVERAGE(O6,P6,Q6))</f>
        <v/>
      </c>
      <c r="S6" s="3">
        <f>IF(COUNTA(O6,P6,Q6)&lt;2,"",MAX(O6,P6,Q6)-MIN(O6,P6,Q6))</f>
        <v/>
      </c>
      <c r="T6" s="2" t="n">
        <v>3</v>
      </c>
      <c r="U6" s="2" t="n"/>
      <c r="V6" s="2" t="n">
        <v>9</v>
      </c>
      <c r="W6" s="3">
        <f>IF(COUNTA(T6,U6,V6)=0,"",AVERAGE(T6,U6,V6))</f>
        <v/>
      </c>
      <c r="X6" s="3">
        <f>IF(COUNTA(T6,U6,V6)&lt;2,"",MAX(T6,U6,V6)-MIN(T6,U6,V6))</f>
        <v/>
      </c>
      <c r="Y6" t="n">
        <v>0</v>
      </c>
      <c r="Z6" t="n">
        <v>0</v>
      </c>
      <c r="AA6" t="n">
        <v>35</v>
      </c>
      <c r="AB6" s="3">
        <f>SUM(H6,M6,R6,W6)</f>
        <v/>
      </c>
      <c r="AC6" t="inlineStr">
        <is>
          <t>Dr Sindhu S</t>
        </is>
      </c>
      <c r="AD6">
        <f>IF(OR(I6&gt;2,N6&gt;2,S6&gt;2,X6&gt;2),"check variance","")</f>
        <v/>
      </c>
      <c r="AE6" t="inlineStr">
        <is>
          <t>roll</t>
        </is>
      </c>
    </row>
    <row r="7">
      <c r="A7" t="inlineStr">
        <is>
          <t>23</t>
        </is>
      </c>
      <c r="B7" t="inlineStr">
        <is>
          <t>Ashish B</t>
        </is>
      </c>
      <c r="C7" t="n">
        <v/>
      </c>
      <c r="D7" t="inlineStr">
        <is>
          <t>AlphaFold</t>
        </is>
      </c>
      <c r="E7" s="2" t="n"/>
      <c r="F7" s="2" t="n"/>
      <c r="G7" s="2" t="n"/>
      <c r="H7" s="3">
        <f>IF(COUNTA(E7,F7,G7)=0,"",AVERAGE(E7,F7,G7))</f>
        <v/>
      </c>
      <c r="I7" s="3">
        <f>IF(COUNTA(E7,F7,G7)&lt;2,"",MAX(E7,F7,G7)-MIN(E7,F7,G7))</f>
        <v/>
      </c>
      <c r="J7" s="2" t="n"/>
      <c r="K7" s="2" t="n"/>
      <c r="L7" s="2" t="n"/>
      <c r="M7" s="3">
        <f>IF(COUNTA(J7,K7,L7)=0,"",AVERAGE(J7,K7,L7))</f>
        <v/>
      </c>
      <c r="N7" s="3">
        <f>IF(COUNTA(J7,K7,L7)&lt;2,"",MAX(J7,K7,L7)-MIN(J7,K7,L7))</f>
        <v/>
      </c>
      <c r="O7" s="2" t="n"/>
      <c r="P7" s="2" t="n"/>
      <c r="Q7" s="2" t="n"/>
      <c r="R7" s="3">
        <f>IF(COUNTA(O7,P7,Q7)=0,"",AVERAGE(O7,P7,Q7))</f>
        <v/>
      </c>
      <c r="S7" s="3">
        <f>IF(COUNTA(O7,P7,Q7)&lt;2,"",MAX(O7,P7,Q7)-MIN(O7,P7,Q7))</f>
        <v/>
      </c>
      <c r="T7" s="2" t="n">
        <v>3</v>
      </c>
      <c r="U7" s="2" t="n"/>
      <c r="V7" s="2" t="n"/>
      <c r="W7" s="3">
        <f>IF(COUNTA(T7,U7,V7)=0,"",AVERAGE(T7,U7,V7))</f>
        <v/>
      </c>
      <c r="X7" s="3">
        <f>IF(COUNTA(T7,U7,V7)&lt;2,"",MAX(T7,U7,V7)-MIN(T7,U7,V7))</f>
        <v/>
      </c>
      <c r="Y7" t="n">
        <v>0</v>
      </c>
      <c r="Z7" t="n">
        <v>0</v>
      </c>
      <c r="AA7" t="n">
        <v>0</v>
      </c>
      <c r="AB7" s="3">
        <f>SUM(H7,M7,R7,W7)</f>
        <v/>
      </c>
      <c r="AC7" t="inlineStr">
        <is>
          <t>Dr Viji Rajendran</t>
        </is>
      </c>
      <c r="AD7">
        <f>IF(OR(I7&gt;2,N7&gt;2,S7&gt;2,X7&gt;2),"check variance","")</f>
        <v/>
      </c>
      <c r="AE7" t="inlineStr">
        <is>
          <t>roll</t>
        </is>
      </c>
    </row>
    <row r="8">
      <c r="A8" t="inlineStr">
        <is>
          <t>24</t>
        </is>
      </c>
      <c r="B8" t="inlineStr">
        <is>
          <t>Aswini K S</t>
        </is>
      </c>
      <c r="C8" t="n">
        <v/>
      </c>
      <c r="D8" t="inlineStr">
        <is>
          <t>Multi-Modal Retrieval-Augmented Generation (RAG)</t>
        </is>
      </c>
      <c r="E8" s="2" t="n">
        <v>8</v>
      </c>
      <c r="F8" s="2" t="n"/>
      <c r="G8" s="2" t="n"/>
      <c r="H8" s="3">
        <f>IF(COUNTA(E8,F8,G8)=0,"",AVERAGE(E8,F8,G8))</f>
        <v/>
      </c>
      <c r="I8" s="3">
        <f>IF(COUNTA(E8,F8,G8)&lt;2,"",MAX(E8,F8,G8)-MIN(E8,F8,G8))</f>
        <v/>
      </c>
      <c r="J8" s="2" t="n">
        <v>7</v>
      </c>
      <c r="K8" s="2" t="n"/>
      <c r="L8" s="2" t="n"/>
      <c r="M8" s="3">
        <f>IF(COUNTA(J8,K8,L8)=0,"",AVERAGE(J8,K8,L8))</f>
        <v/>
      </c>
      <c r="N8" s="3">
        <f>IF(COUNTA(J8,K8,L8)&lt;2,"",MAX(J8,K8,L8)-MIN(J8,K8,L8))</f>
        <v/>
      </c>
      <c r="O8" s="2" t="n">
        <v>8</v>
      </c>
      <c r="P8" s="2" t="n">
        <v>2</v>
      </c>
      <c r="Q8" s="2" t="n"/>
      <c r="R8" s="3">
        <f>IF(COUNTA(O8,P8,Q8)=0,"",AVERAGE(O8,P8,Q8))</f>
        <v/>
      </c>
      <c r="S8" s="3">
        <f>IF(COUNTA(O8,P8,Q8)&lt;2,"",MAX(O8,P8,Q8)-MIN(O8,P8,Q8))</f>
        <v/>
      </c>
      <c r="T8" s="2" t="n">
        <v>2</v>
      </c>
      <c r="U8" s="2" t="n"/>
      <c r="V8" s="2" t="n"/>
      <c r="W8" s="3">
        <f>IF(COUNTA(T8,U8,V8)=0,"",AVERAGE(T8,U8,V8))</f>
        <v/>
      </c>
      <c r="X8" s="3">
        <f>IF(COUNTA(T8,U8,V8)&lt;2,"",MAX(T8,U8,V8)-MIN(T8,U8,V8))</f>
        <v/>
      </c>
      <c r="Y8" t="n">
        <v>0</v>
      </c>
      <c r="Z8" t="n">
        <v>0</v>
      </c>
      <c r="AA8" t="n">
        <v>0</v>
      </c>
      <c r="AB8" s="3">
        <f>SUM(H8,M8,R8,W8)</f>
        <v/>
      </c>
      <c r="AC8" t="inlineStr">
        <is>
          <t>Dr Sruthi Manmadhan</t>
        </is>
      </c>
      <c r="AD8">
        <f>IF(OR(I8&gt;2,N8&gt;2,S8&gt;2,X8&gt;2),"check variance","")</f>
        <v/>
      </c>
      <c r="AE8" t="inlineStr">
        <is>
          <t>roll</t>
        </is>
      </c>
    </row>
    <row r="9">
      <c r="A9" t="inlineStr">
        <is>
          <t>26</t>
        </is>
      </c>
      <c r="B9" t="inlineStr">
        <is>
          <t>Brighty Jobin</t>
        </is>
      </c>
      <c r="C9" t="n">
        <v/>
      </c>
      <c r="D9" t="inlineStr">
        <is>
          <t>Natural Language Inference: Teaching AI to Reason About Language</t>
        </is>
      </c>
      <c r="E9" s="2" t="n">
        <v>5</v>
      </c>
      <c r="F9" s="2" t="n"/>
      <c r="G9" s="2" t="n"/>
      <c r="H9" s="3">
        <f>IF(COUNTA(E9,F9,G9)=0,"",AVERAGE(E9,F9,G9))</f>
        <v/>
      </c>
      <c r="I9" s="3">
        <f>IF(COUNTA(E9,F9,G9)&lt;2,"",MAX(E9,F9,G9)-MIN(E9,F9,G9))</f>
        <v/>
      </c>
      <c r="J9" s="2" t="n">
        <v>8</v>
      </c>
      <c r="K9" s="2" t="n"/>
      <c r="L9" s="2" t="n"/>
      <c r="M9" s="3">
        <f>IF(COUNTA(J9,K9,L9)=0,"",AVERAGE(J9,K9,L9))</f>
        <v/>
      </c>
      <c r="N9" s="3">
        <f>IF(COUNTA(J9,K9,L9)&lt;2,"",MAX(J9,K9,L9)-MIN(J9,K9,L9))</f>
        <v/>
      </c>
      <c r="O9" s="2" t="n">
        <v>9</v>
      </c>
      <c r="P9" s="2" t="n">
        <v>1</v>
      </c>
      <c r="Q9" s="2" t="n"/>
      <c r="R9" s="3">
        <f>IF(COUNTA(O9,P9,Q9)=0,"",AVERAGE(O9,P9,Q9))</f>
        <v/>
      </c>
      <c r="S9" s="3">
        <f>IF(COUNTA(O9,P9,Q9)&lt;2,"",MAX(O9,P9,Q9)-MIN(O9,P9,Q9))</f>
        <v/>
      </c>
      <c r="T9" s="2" t="n">
        <v>3</v>
      </c>
      <c r="U9" s="2" t="n"/>
      <c r="V9" s="2" t="n"/>
      <c r="W9" s="3">
        <f>IF(COUNTA(T9,U9,V9)=0,"",AVERAGE(T9,U9,V9))</f>
        <v/>
      </c>
      <c r="X9" s="3">
        <f>IF(COUNTA(T9,U9,V9)&lt;2,"",MAX(T9,U9,V9)-MIN(T9,U9,V9))</f>
        <v/>
      </c>
      <c r="Y9" t="n">
        <v>0</v>
      </c>
      <c r="Z9" t="n">
        <v>0</v>
      </c>
      <c r="AA9" t="n">
        <v>0</v>
      </c>
      <c r="AB9" s="3">
        <f>SUM(H9,M9,R9,W9)</f>
        <v/>
      </c>
      <c r="AC9" t="inlineStr">
        <is>
          <t>Dr Sruthi Manmadhan</t>
        </is>
      </c>
      <c r="AD9">
        <f>IF(OR(I9&gt;2,N9&gt;2,S9&gt;2,X9&gt;2),"check variance","")</f>
        <v/>
      </c>
      <c r="AE9" t="inlineStr">
        <is>
          <t>roll</t>
        </is>
      </c>
    </row>
    <row r="10">
      <c r="A10" t="inlineStr">
        <is>
          <t>29</t>
        </is>
      </c>
      <c r="B10" t="inlineStr">
        <is>
          <t>Diya K Sajith</t>
        </is>
      </c>
      <c r="C10" t="n">
        <v/>
      </c>
      <c r="D10" t="inlineStr">
        <is>
          <t>Red Teaming with LLMs: Stress Testing AI Defenses Against Sophisticated Phishing Attacks</t>
        </is>
      </c>
      <c r="E10" s="2" t="n"/>
      <c r="F10" s="2" t="n"/>
      <c r="G10" s="2" t="n"/>
      <c r="H10" s="3">
        <f>IF(COUNTA(E10,F10,G10)=0,"",AVERAGE(E10,F10,G10))</f>
        <v/>
      </c>
      <c r="I10" s="3">
        <f>IF(COUNTA(E10,F10,G10)&lt;2,"",MAX(E10,F10,G10)-MIN(E10,F10,G10))</f>
        <v/>
      </c>
      <c r="J10" s="2" t="n"/>
      <c r="K10" s="2" t="n"/>
      <c r="L10" s="2" t="n"/>
      <c r="M10" s="3">
        <f>IF(COUNTA(J10,K10,L10)=0,"",AVERAGE(J10,K10,L10))</f>
        <v/>
      </c>
      <c r="N10" s="3">
        <f>IF(COUNTA(J10,K10,L10)&lt;2,"",MAX(J10,K10,L10)-MIN(J10,K10,L10))</f>
        <v/>
      </c>
      <c r="O10" s="2" t="n"/>
      <c r="P10" s="2" t="n"/>
      <c r="Q10" s="2" t="n"/>
      <c r="R10" s="3">
        <f>IF(COUNTA(O10,P10,Q10)=0,"",AVERAGE(O10,P10,Q10))</f>
        <v/>
      </c>
      <c r="S10" s="3">
        <f>IF(COUNTA(O10,P10,Q10)&lt;2,"",MAX(O10,P10,Q10)-MIN(O10,P10,Q10))</f>
        <v/>
      </c>
      <c r="T10" s="2" t="n"/>
      <c r="U10" s="2" t="n"/>
      <c r="V10" s="2" t="n">
        <v>0</v>
      </c>
      <c r="W10" s="3">
        <f>IF(COUNTA(T10,U10,V10)=0,"",AVERAGE(T10,U10,V10))</f>
        <v/>
      </c>
      <c r="X10" s="3">
        <f>IF(COUNTA(T10,U10,V10)&lt;2,"",MAX(T10,U10,V10)-MIN(T10,U10,V10))</f>
        <v/>
      </c>
      <c r="Y10" t="n">
        <v>0</v>
      </c>
      <c r="Z10" t="n">
        <v>0</v>
      </c>
      <c r="AB10" s="3">
        <f>SUM(H10,M10,R10,W10)</f>
        <v/>
      </c>
      <c r="AC10" t="inlineStr">
        <is>
          <t>Dr Maya Mohan</t>
        </is>
      </c>
      <c r="AD10">
        <f>IF(OR(I10&gt;2,N10&gt;2,S10&gt;2,X10&gt;2),"check variance","")</f>
        <v/>
      </c>
      <c r="AE10" t="inlineStr">
        <is>
          <t>roll</t>
        </is>
      </c>
    </row>
    <row r="11">
      <c r="A11" t="inlineStr">
        <is>
          <t>3</t>
        </is>
      </c>
      <c r="B11" t="inlineStr">
        <is>
          <t>Abhinand C</t>
        </is>
      </c>
      <c r="C11" t="n">
        <v/>
      </c>
      <c r="D11" t="inlineStr">
        <is>
          <t>Security and privacy concerns in cloud-based scientific and business workflows</t>
        </is>
      </c>
      <c r="E11" s="2" t="n">
        <v>7</v>
      </c>
      <c r="F11" s="2" t="n"/>
      <c r="G11" s="2" t="n">
        <v>8</v>
      </c>
      <c r="H11" s="3">
        <f>IF(COUNTA(E11,F11,G11)=0,"",AVERAGE(E11,F11,G11))</f>
        <v/>
      </c>
      <c r="I11" s="3">
        <f>IF(COUNTA(E11,F11,G11)&lt;2,"",MAX(E11,F11,G11)-MIN(E11,F11,G11))</f>
        <v/>
      </c>
      <c r="J11" s="2" t="n">
        <v>7</v>
      </c>
      <c r="K11" s="2" t="n"/>
      <c r="L11" s="2" t="n">
        <v>9</v>
      </c>
      <c r="M11" s="3">
        <f>IF(COUNTA(J11,K11,L11)=0,"",AVERAGE(J11,K11,L11))</f>
        <v/>
      </c>
      <c r="N11" s="3">
        <f>IF(COUNTA(J11,K11,L11)&lt;2,"",MAX(J11,K11,L11)-MIN(J11,K11,L11))</f>
        <v/>
      </c>
      <c r="O11" s="2" t="n">
        <v>7</v>
      </c>
      <c r="P11" s="2" t="n"/>
      <c r="Q11" s="2" t="n">
        <v>9</v>
      </c>
      <c r="R11" s="3">
        <f>IF(COUNTA(O11,P11,Q11)=0,"",AVERAGE(O11,P11,Q11))</f>
        <v/>
      </c>
      <c r="S11" s="3">
        <f>IF(COUNTA(O11,P11,Q11)&lt;2,"",MAX(O11,P11,Q11)-MIN(O11,P11,Q11))</f>
        <v/>
      </c>
      <c r="T11" s="2" t="n"/>
      <c r="U11" s="2" t="n"/>
      <c r="V11" s="2" t="n">
        <v>8</v>
      </c>
      <c r="W11" s="3">
        <f>IF(COUNTA(T11,U11,V11)=0,"",AVERAGE(T11,U11,V11))</f>
        <v/>
      </c>
      <c r="X11" s="3">
        <f>IF(COUNTA(T11,U11,V11)&lt;2,"",MAX(T11,U11,V11)-MIN(T11,U11,V11))</f>
        <v/>
      </c>
      <c r="Y11" t="n">
        <v>0</v>
      </c>
      <c r="Z11" t="n">
        <v>0</v>
      </c>
      <c r="AA11" t="n">
        <v>34</v>
      </c>
      <c r="AB11" s="3">
        <f>SUM(H11,M11,R11,W11)</f>
        <v/>
      </c>
      <c r="AC11" t="inlineStr">
        <is>
          <t>Dr Sindhu S</t>
        </is>
      </c>
      <c r="AD11">
        <f>IF(OR(I11&gt;2,N11&gt;2,S11&gt;2,X11&gt;2),"check variance","")</f>
        <v/>
      </c>
      <c r="AE11" t="inlineStr">
        <is>
          <t>roll</t>
        </is>
      </c>
    </row>
    <row r="12">
      <c r="A12" t="inlineStr">
        <is>
          <t>31</t>
        </is>
      </c>
      <c r="B12" t="inlineStr">
        <is>
          <t>Gayathri Asok</t>
        </is>
      </c>
      <c r="C12" t="n">
        <v/>
      </c>
      <c r="D12" t="inlineStr">
        <is>
          <t>Combining Ontologies and LLMs for Safer and Explainable AI Systems</t>
        </is>
      </c>
      <c r="E12" s="2" t="n"/>
      <c r="F12" s="2" t="n"/>
      <c r="G12" s="2" t="n"/>
      <c r="H12" s="3">
        <f>IF(COUNTA(E12,F12,G12)=0,"",AVERAGE(E12,F12,G12))</f>
        <v/>
      </c>
      <c r="I12" s="3">
        <f>IF(COUNTA(E12,F12,G12)&lt;2,"",MAX(E12,F12,G12)-MIN(E12,F12,G12))</f>
        <v/>
      </c>
      <c r="J12" s="2" t="n"/>
      <c r="K12" s="2" t="n"/>
      <c r="L12" s="2" t="n"/>
      <c r="M12" s="3">
        <f>IF(COUNTA(J12,K12,L12)=0,"",AVERAGE(J12,K12,L12))</f>
        <v/>
      </c>
      <c r="N12" s="3">
        <f>IF(COUNTA(J12,K12,L12)&lt;2,"",MAX(J12,K12,L12)-MIN(J12,K12,L12))</f>
        <v/>
      </c>
      <c r="O12" s="2" t="n"/>
      <c r="P12" s="2" t="n"/>
      <c r="Q12" s="2" t="n"/>
      <c r="R12" s="3">
        <f>IF(COUNTA(O12,P12,Q12)=0,"",AVERAGE(O12,P12,Q12))</f>
        <v/>
      </c>
      <c r="S12" s="3">
        <f>IF(COUNTA(O12,P12,Q12)&lt;2,"",MAX(O12,P12,Q12)-MIN(O12,P12,Q12))</f>
        <v/>
      </c>
      <c r="T12" s="2" t="n">
        <v>2</v>
      </c>
      <c r="U12" s="2" t="n"/>
      <c r="V12" s="2" t="n"/>
      <c r="W12" s="3">
        <f>IF(COUNTA(T12,U12,V12)=0,"",AVERAGE(T12,U12,V12))</f>
        <v/>
      </c>
      <c r="X12" s="3">
        <f>IF(COUNTA(T12,U12,V12)&lt;2,"",MAX(T12,U12,V12)-MIN(T12,U12,V12))</f>
        <v/>
      </c>
      <c r="Y12" t="n">
        <v>0</v>
      </c>
      <c r="Z12" t="n">
        <v>0</v>
      </c>
      <c r="AA12" t="n">
        <v>0</v>
      </c>
      <c r="AB12" s="3">
        <f>SUM(H12,M12,R12,W12)</f>
        <v/>
      </c>
      <c r="AC12" t="inlineStr">
        <is>
          <t>Dr Sruthi Manmadhan</t>
        </is>
      </c>
      <c r="AD12">
        <f>IF(OR(I12&gt;2,N12&gt;2,S12&gt;2,X12&gt;2),"check variance","")</f>
        <v/>
      </c>
      <c r="AE12" t="inlineStr">
        <is>
          <t>roll</t>
        </is>
      </c>
    </row>
    <row r="13">
      <c r="A13" t="inlineStr">
        <is>
          <t>32</t>
        </is>
      </c>
      <c r="B13" t="inlineStr">
        <is>
          <t>Harikrishnan A</t>
        </is>
      </c>
      <c r="C13" t="n">
        <v/>
      </c>
      <c r="D13" t="inlineStr">
        <is>
          <t>Proof-of-Training: Ensuring AI Model Authenticity in Decentralized Marketplaces</t>
        </is>
      </c>
      <c r="E13" s="2" t="n"/>
      <c r="F13" s="2" t="n"/>
      <c r="G13" s="2" t="n">
        <v>10</v>
      </c>
      <c r="H13" s="3">
        <f>IF(COUNTA(E13,F13,G13)=0,"",AVERAGE(E13,F13,G13))</f>
        <v/>
      </c>
      <c r="I13" s="3">
        <f>IF(COUNTA(E13,F13,G13)&lt;2,"",MAX(E13,F13,G13)-MIN(E13,F13,G13))</f>
        <v/>
      </c>
      <c r="J13" s="2" t="n"/>
      <c r="K13" s="2" t="n"/>
      <c r="L13" s="2" t="n">
        <v>10</v>
      </c>
      <c r="M13" s="3">
        <f>IF(COUNTA(J13,K13,L13)=0,"",AVERAGE(J13,K13,L13))</f>
        <v/>
      </c>
      <c r="N13" s="3">
        <f>IF(COUNTA(J13,K13,L13)&lt;2,"",MAX(J13,K13,L13)-MIN(J13,K13,L13))</f>
        <v/>
      </c>
      <c r="O13" s="2" t="n"/>
      <c r="P13" s="2" t="n">
        <v>1</v>
      </c>
      <c r="Q13" s="2" t="n">
        <v>10</v>
      </c>
      <c r="R13" s="3">
        <f>IF(COUNTA(O13,P13,Q13)=0,"",AVERAGE(O13,P13,Q13))</f>
        <v/>
      </c>
      <c r="S13" s="3">
        <f>IF(COUNTA(O13,P13,Q13)&lt;2,"",MAX(O13,P13,Q13)-MIN(O13,P13,Q13))</f>
        <v/>
      </c>
      <c r="T13" s="2" t="n">
        <v>2</v>
      </c>
      <c r="U13" s="2" t="n"/>
      <c r="V13" s="2" t="n">
        <v>10</v>
      </c>
      <c r="W13" s="3">
        <f>IF(COUNTA(T13,U13,V13)=0,"",AVERAGE(T13,U13,V13))</f>
        <v/>
      </c>
      <c r="X13" s="3">
        <f>IF(COUNTA(T13,U13,V13)&lt;2,"",MAX(T13,U13,V13)-MIN(T13,U13,V13))</f>
        <v/>
      </c>
      <c r="Y13" t="n">
        <v>0</v>
      </c>
      <c r="Z13" t="n">
        <v>0</v>
      </c>
      <c r="AA13" t="n">
        <v>40</v>
      </c>
      <c r="AB13" s="3">
        <f>SUM(H13,M13,R13,W13)</f>
        <v/>
      </c>
      <c r="AC13" t="inlineStr">
        <is>
          <t>Kiran V K</t>
        </is>
      </c>
      <c r="AD13">
        <f>IF(OR(I13&gt;2,N13&gt;2,S13&gt;2,X13&gt;2),"check variance","")</f>
        <v/>
      </c>
      <c r="AE13" t="inlineStr">
        <is>
          <t>roll</t>
        </is>
      </c>
    </row>
    <row r="14">
      <c r="A14" t="inlineStr">
        <is>
          <t>34</t>
        </is>
      </c>
      <c r="B14" t="inlineStr">
        <is>
          <t>John Varghese Benny</t>
        </is>
      </c>
      <c r="C14" t="n">
        <v/>
      </c>
      <c r="D14" t="inlineStr">
        <is>
          <t>Bayesian Networks for Intelligent Decision-Making in Uncertain Environments</t>
        </is>
      </c>
      <c r="E14" s="2" t="n">
        <v>8</v>
      </c>
      <c r="F14" s="2" t="n"/>
      <c r="G14" s="2" t="n"/>
      <c r="H14" s="3">
        <f>IF(COUNTA(E14,F14,G14)=0,"",AVERAGE(E14,F14,G14))</f>
        <v/>
      </c>
      <c r="I14" s="3">
        <f>IF(COUNTA(E14,F14,G14)&lt;2,"",MAX(E14,F14,G14)-MIN(E14,F14,G14))</f>
        <v/>
      </c>
      <c r="J14" s="2" t="n">
        <v>9</v>
      </c>
      <c r="K14" s="2" t="n"/>
      <c r="L14" s="2" t="n"/>
      <c r="M14" s="3">
        <f>IF(COUNTA(J14,K14,L14)=0,"",AVERAGE(J14,K14,L14))</f>
        <v/>
      </c>
      <c r="N14" s="3">
        <f>IF(COUNTA(J14,K14,L14)&lt;2,"",MAX(J14,K14,L14)-MIN(J14,K14,L14))</f>
        <v/>
      </c>
      <c r="O14" s="2" t="n">
        <v>9</v>
      </c>
      <c r="P14" s="2" t="n">
        <v>2</v>
      </c>
      <c r="Q14" s="2" t="n"/>
      <c r="R14" s="3">
        <f>IF(COUNTA(O14,P14,Q14)=0,"",AVERAGE(O14,P14,Q14))</f>
        <v/>
      </c>
      <c r="S14" s="3">
        <f>IF(COUNTA(O14,P14,Q14)&lt;2,"",MAX(O14,P14,Q14)-MIN(O14,P14,Q14))</f>
        <v/>
      </c>
      <c r="T14" s="2" t="n">
        <v>5</v>
      </c>
      <c r="U14" s="2" t="n"/>
      <c r="V14" s="2" t="n"/>
      <c r="W14" s="3">
        <f>IF(COUNTA(T14,U14,V14)=0,"",AVERAGE(T14,U14,V14))</f>
        <v/>
      </c>
      <c r="X14" s="3">
        <f>IF(COUNTA(T14,U14,V14)&lt;2,"",MAX(T14,U14,V14)-MIN(T14,U14,V14))</f>
        <v/>
      </c>
      <c r="Y14" t="n">
        <v>0</v>
      </c>
      <c r="Z14" t="n">
        <v>0</v>
      </c>
      <c r="AA14" t="n">
        <v>0</v>
      </c>
      <c r="AB14" s="3">
        <f>SUM(H14,M14,R14,W14)</f>
        <v/>
      </c>
      <c r="AC14" t="inlineStr">
        <is>
          <t>Dr Sruthi Manmadhan</t>
        </is>
      </c>
      <c r="AD14">
        <f>IF(OR(I14&gt;2,N14&gt;2,S14&gt;2,X14&gt;2),"check variance","")</f>
        <v/>
      </c>
      <c r="AE14" t="inlineStr">
        <is>
          <t>roll</t>
        </is>
      </c>
    </row>
    <row r="15">
      <c r="A15" t="inlineStr">
        <is>
          <t>37</t>
        </is>
      </c>
      <c r="B15" t="inlineStr">
        <is>
          <t>Merin P R</t>
        </is>
      </c>
      <c r="C15" t="n">
        <v/>
      </c>
      <c r="D15" t="inlineStr">
        <is>
          <t>Bloom Filters and eBF: Design and Security Applications</t>
        </is>
      </c>
      <c r="E15" s="2" t="n">
        <v>9</v>
      </c>
      <c r="F15" s="2" t="n"/>
      <c r="G15" s="2" t="n">
        <v>10</v>
      </c>
      <c r="H15" s="3">
        <f>IF(COUNTA(E15,F15,G15)=0,"",AVERAGE(E15,F15,G15))</f>
        <v/>
      </c>
      <c r="I15" s="3">
        <f>IF(COUNTA(E15,F15,G15)&lt;2,"",MAX(E15,F15,G15)-MIN(E15,F15,G15))</f>
        <v/>
      </c>
      <c r="J15" s="2" t="n">
        <v>8</v>
      </c>
      <c r="K15" s="2" t="n"/>
      <c r="L15" s="2" t="n">
        <v>10</v>
      </c>
      <c r="M15" s="3">
        <f>IF(COUNTA(J15,K15,L15)=0,"",AVERAGE(J15,K15,L15))</f>
        <v/>
      </c>
      <c r="N15" s="3">
        <f>IF(COUNTA(J15,K15,L15)&lt;2,"",MAX(J15,K15,L15)-MIN(J15,K15,L15))</f>
        <v/>
      </c>
      <c r="O15" s="2" t="n">
        <v>9</v>
      </c>
      <c r="P15" s="2" t="n"/>
      <c r="Q15" s="2" t="n">
        <v>9</v>
      </c>
      <c r="R15" s="3">
        <f>IF(COUNTA(O15,P15,Q15)=0,"",AVERAGE(O15,P15,Q15))</f>
        <v/>
      </c>
      <c r="S15" s="3">
        <f>IF(COUNTA(O15,P15,Q15)&lt;2,"",MAX(O15,P15,Q15)-MIN(O15,P15,Q15))</f>
        <v/>
      </c>
      <c r="T15" s="2" t="n"/>
      <c r="U15" s="2" t="n"/>
      <c r="V15" s="2" t="n">
        <v>10</v>
      </c>
      <c r="W15" s="3">
        <f>IF(COUNTA(T15,U15,V15)=0,"",AVERAGE(T15,U15,V15))</f>
        <v/>
      </c>
      <c r="X15" s="3">
        <f>IF(COUNTA(T15,U15,V15)&lt;2,"",MAX(T15,U15,V15)-MIN(T15,U15,V15))</f>
        <v/>
      </c>
      <c r="Y15" t="n">
        <v>0</v>
      </c>
      <c r="Z15" t="n">
        <v>0</v>
      </c>
      <c r="AA15" t="n">
        <v>39</v>
      </c>
      <c r="AB15" s="3">
        <f>SUM(H15,M15,R15,W15)</f>
        <v/>
      </c>
      <c r="AC15" t="inlineStr">
        <is>
          <t>Dr Sindhu S</t>
        </is>
      </c>
      <c r="AD15">
        <f>IF(OR(I15&gt;2,N15&gt;2,S15&gt;2,X15&gt;2),"check variance","")</f>
        <v/>
      </c>
      <c r="AE15" t="inlineStr">
        <is>
          <t>roll</t>
        </is>
      </c>
    </row>
    <row r="16">
      <c r="A16" t="inlineStr">
        <is>
          <t>38</t>
        </is>
      </c>
      <c r="B16" t="inlineStr">
        <is>
          <t>Mihikka S</t>
        </is>
      </c>
      <c r="C16" t="n">
        <v/>
      </c>
      <c r="D16" t="inlineStr">
        <is>
          <t>Blockchain based approaches on federated learning</t>
        </is>
      </c>
      <c r="E16" s="2" t="n"/>
      <c r="F16" s="2" t="n"/>
      <c r="G16" s="2" t="n"/>
      <c r="H16" s="3">
        <f>IF(COUNTA(E16,F16,G16)=0,"",AVERAGE(E16,F16,G16))</f>
        <v/>
      </c>
      <c r="I16" s="3">
        <f>IF(COUNTA(E16,F16,G16)&lt;2,"",MAX(E16,F16,G16)-MIN(E16,F16,G16))</f>
        <v/>
      </c>
      <c r="J16" s="2" t="n"/>
      <c r="K16" s="2" t="n"/>
      <c r="L16" s="2" t="n"/>
      <c r="M16" s="3">
        <f>IF(COUNTA(J16,K16,L16)=0,"",AVERAGE(J16,K16,L16))</f>
        <v/>
      </c>
      <c r="N16" s="3">
        <f>IF(COUNTA(J16,K16,L16)&lt;2,"",MAX(J16,K16,L16)-MIN(J16,K16,L16))</f>
        <v/>
      </c>
      <c r="O16" s="2" t="n"/>
      <c r="P16" s="2" t="n">
        <v>2</v>
      </c>
      <c r="Q16" s="2" t="n"/>
      <c r="R16" s="3">
        <f>IF(COUNTA(O16,P16,Q16)=0,"",AVERAGE(O16,P16,Q16))</f>
        <v/>
      </c>
      <c r="S16" s="3">
        <f>IF(COUNTA(O16,P16,Q16)&lt;2,"",MAX(O16,P16,Q16)-MIN(O16,P16,Q16))</f>
        <v/>
      </c>
      <c r="T16" s="2" t="n">
        <v>4</v>
      </c>
      <c r="U16" s="2" t="n"/>
      <c r="V16" s="2" t="n"/>
      <c r="W16" s="3">
        <f>IF(COUNTA(T16,U16,V16)=0,"",AVERAGE(T16,U16,V16))</f>
        <v/>
      </c>
      <c r="X16" s="3">
        <f>IF(COUNTA(T16,U16,V16)&lt;2,"",MAX(T16,U16,V16)-MIN(T16,U16,V16))</f>
        <v/>
      </c>
      <c r="Y16" t="n">
        <v>0</v>
      </c>
      <c r="Z16" t="n">
        <v>0</v>
      </c>
      <c r="AA16" t="n">
        <v>0</v>
      </c>
      <c r="AB16" s="3">
        <f>SUM(H16,M16,R16,W16)</f>
        <v/>
      </c>
      <c r="AC16" t="inlineStr">
        <is>
          <t>VK</t>
        </is>
      </c>
      <c r="AD16">
        <f>IF(OR(I16&gt;2,N16&gt;2,S16&gt;2,X16&gt;2),"check variance","")</f>
        <v/>
      </c>
      <c r="AE16" t="inlineStr">
        <is>
          <t>roll</t>
        </is>
      </c>
    </row>
    <row r="17">
      <c r="A17" t="inlineStr">
        <is>
          <t>39</t>
        </is>
      </c>
      <c r="B17" t="inlineStr">
        <is>
          <t>Mohammed Shifan C P</t>
        </is>
      </c>
      <c r="C17" t="n">
        <v/>
      </c>
      <c r="D17" t="inlineStr">
        <is>
          <t>PATIENT DATA PROTECTION IN THE DIGITAL  AGE: SAFEGUARDING ELECTRONIC HEALTH  RECORDS (EHRS)</t>
        </is>
      </c>
      <c r="E17" s="2" t="n"/>
      <c r="F17" s="2" t="n">
        <v>9</v>
      </c>
      <c r="G17" s="2" t="n"/>
      <c r="H17" s="3">
        <f>IF(COUNTA(E17,F17,G17)=0,"",AVERAGE(E17,F17,G17))</f>
        <v/>
      </c>
      <c r="I17" s="3">
        <f>IF(COUNTA(E17,F17,G17)&lt;2,"",MAX(E17,F17,G17)-MIN(E17,F17,G17))</f>
        <v/>
      </c>
      <c r="J17" s="2" t="n"/>
      <c r="K17" s="2" t="n">
        <v>9</v>
      </c>
      <c r="L17" s="2" t="n"/>
      <c r="M17" s="3">
        <f>IF(COUNTA(J17,K17,L17)=0,"",AVERAGE(J17,K17,L17))</f>
        <v/>
      </c>
      <c r="N17" s="3">
        <f>IF(COUNTA(J17,K17,L17)&lt;2,"",MAX(J17,K17,L17)-MIN(J17,K17,L17))</f>
        <v/>
      </c>
      <c r="O17" s="2" t="n"/>
      <c r="P17" s="2" t="n">
        <v>9</v>
      </c>
      <c r="Q17" s="2" t="n"/>
      <c r="R17" s="3">
        <f>IF(COUNTA(O17,P17,Q17)=0,"",AVERAGE(O17,P17,Q17))</f>
        <v/>
      </c>
      <c r="S17" s="3">
        <f>IF(COUNTA(O17,P17,Q17)&lt;2,"",MAX(O17,P17,Q17)-MIN(O17,P17,Q17))</f>
        <v/>
      </c>
      <c r="T17" s="2" t="n"/>
      <c r="U17" s="2" t="n">
        <v>1</v>
      </c>
      <c r="V17" s="2" t="n"/>
      <c r="W17" s="3">
        <f>IF(COUNTA(T17,U17,V17)=0,"",AVERAGE(T17,U17,V17))</f>
        <v/>
      </c>
      <c r="X17" s="3">
        <f>IF(COUNTA(T17,U17,V17)&lt;2,"",MAX(T17,U17,V17)-MIN(T17,U17,V17))</f>
        <v/>
      </c>
      <c r="Y17" t="n">
        <v>0</v>
      </c>
      <c r="Z17" t="n">
        <v>36</v>
      </c>
      <c r="AA17" t="n">
        <v>0</v>
      </c>
      <c r="AB17" s="3">
        <f>SUM(H17,M17,R17,W17)</f>
        <v/>
      </c>
      <c r="AC17" t="inlineStr">
        <is>
          <t>Usha K</t>
        </is>
      </c>
      <c r="AD17">
        <f>IF(OR(I17&gt;2,N17&gt;2,S17&gt;2,X17&gt;2),"check variance","")</f>
        <v/>
      </c>
      <c r="AE17" t="inlineStr">
        <is>
          <t>roll</t>
        </is>
      </c>
    </row>
    <row r="18">
      <c r="A18" t="inlineStr">
        <is>
          <t>41</t>
        </is>
      </c>
      <c r="B18" t="inlineStr">
        <is>
          <t>Namita B</t>
        </is>
      </c>
      <c r="C18" t="n">
        <v/>
      </c>
      <c r="D18" t="inlineStr">
        <is>
          <t>Explaining model prediction with Captum in PyTorch</t>
        </is>
      </c>
      <c r="E18" s="2" t="n"/>
      <c r="F18" s="2" t="n"/>
      <c r="G18" s="2" t="n"/>
      <c r="H18" s="3">
        <f>IF(COUNTA(E18,F18,G18)=0,"",AVERAGE(E18,F18,G18))</f>
        <v/>
      </c>
      <c r="I18" s="3">
        <f>IF(COUNTA(E18,F18,G18)&lt;2,"",MAX(E18,F18,G18)-MIN(E18,F18,G18))</f>
        <v/>
      </c>
      <c r="J18" s="2" t="n"/>
      <c r="K18" s="2" t="n"/>
      <c r="L18" s="2" t="n"/>
      <c r="M18" s="3">
        <f>IF(COUNTA(J18,K18,L18)=0,"",AVERAGE(J18,K18,L18))</f>
        <v/>
      </c>
      <c r="N18" s="3">
        <f>IF(COUNTA(J18,K18,L18)&lt;2,"",MAX(J18,K18,L18)-MIN(J18,K18,L18))</f>
        <v/>
      </c>
      <c r="O18" s="2" t="n"/>
      <c r="P18" s="2" t="n"/>
      <c r="Q18" s="2" t="n"/>
      <c r="R18" s="3">
        <f>IF(COUNTA(O18,P18,Q18)=0,"",AVERAGE(O18,P18,Q18))</f>
        <v/>
      </c>
      <c r="S18" s="3">
        <f>IF(COUNTA(O18,P18,Q18)&lt;2,"",MAX(O18,P18,Q18)-MIN(O18,P18,Q18))</f>
        <v/>
      </c>
      <c r="T18" s="2" t="n">
        <v>1</v>
      </c>
      <c r="U18" s="2" t="n"/>
      <c r="V18" s="2" t="n"/>
      <c r="W18" s="3">
        <f>IF(COUNTA(T18,U18,V18)=0,"",AVERAGE(T18,U18,V18))</f>
        <v/>
      </c>
      <c r="X18" s="3">
        <f>IF(COUNTA(T18,U18,V18)&lt;2,"",MAX(T18,U18,V18)-MIN(T18,U18,V18))</f>
        <v/>
      </c>
      <c r="Y18" t="n">
        <v>0</v>
      </c>
      <c r="Z18" t="n">
        <v>0</v>
      </c>
      <c r="AA18" t="n">
        <v>0</v>
      </c>
      <c r="AB18" s="3">
        <f>SUM(H18,M18,R18,W18)</f>
        <v/>
      </c>
      <c r="AC18" t="inlineStr">
        <is>
          <t>Dr Viji Rajendran</t>
        </is>
      </c>
      <c r="AD18">
        <f>IF(OR(I18&gt;2,N18&gt;2,S18&gt;2,X18&gt;2),"check variance","")</f>
        <v/>
      </c>
      <c r="AE18" t="inlineStr">
        <is>
          <t>roll</t>
        </is>
      </c>
    </row>
    <row r="19">
      <c r="A19" t="inlineStr">
        <is>
          <t>42</t>
        </is>
      </c>
      <c r="B19" t="inlineStr">
        <is>
          <t>Namitha A Suresh</t>
        </is>
      </c>
      <c r="C19" t="n">
        <v/>
      </c>
      <c r="D19" t="inlineStr">
        <is>
          <t>AUTOHALLUSION: Automating Hallucination Benchmark Generation</t>
        </is>
      </c>
      <c r="E19" s="2" t="n">
        <v>7</v>
      </c>
      <c r="F19" s="2" t="n"/>
      <c r="G19" s="2" t="n">
        <v>9</v>
      </c>
      <c r="H19" s="3">
        <f>IF(COUNTA(E19,F19,G19)=0,"",AVERAGE(E19,F19,G19))</f>
        <v/>
      </c>
      <c r="I19" s="3">
        <f>IF(COUNTA(E19,F19,G19)&lt;2,"",MAX(E19,F19,G19)-MIN(E19,F19,G19))</f>
        <v/>
      </c>
      <c r="J19" s="2" t="n">
        <v>7</v>
      </c>
      <c r="K19" s="2" t="n"/>
      <c r="L19" s="2" t="n">
        <v>9</v>
      </c>
      <c r="M19" s="3">
        <f>IF(COUNTA(J19,K19,L19)=0,"",AVERAGE(J19,K19,L19))</f>
        <v/>
      </c>
      <c r="N19" s="3">
        <f>IF(COUNTA(J19,K19,L19)&lt;2,"",MAX(J19,K19,L19)-MIN(J19,K19,L19))</f>
        <v/>
      </c>
      <c r="O19" s="2" t="n">
        <v>6</v>
      </c>
      <c r="P19" s="2" t="n">
        <v>1</v>
      </c>
      <c r="Q19" s="2" t="n">
        <v>8</v>
      </c>
      <c r="R19" s="3">
        <f>IF(COUNTA(O19,P19,Q19)=0,"",AVERAGE(O19,P19,Q19))</f>
        <v/>
      </c>
      <c r="S19" s="3">
        <f>IF(COUNTA(O19,P19,Q19)&lt;2,"",MAX(O19,P19,Q19)-MIN(O19,P19,Q19))</f>
        <v/>
      </c>
      <c r="T19" s="2" t="n">
        <v>2</v>
      </c>
      <c r="U19" s="2" t="n"/>
      <c r="V19" s="2" t="n">
        <v>8</v>
      </c>
      <c r="W19" s="3">
        <f>IF(COUNTA(T19,U19,V19)=0,"",AVERAGE(T19,U19,V19))</f>
        <v/>
      </c>
      <c r="X19" s="3">
        <f>IF(COUNTA(T19,U19,V19)&lt;2,"",MAX(T19,U19,V19)-MIN(T19,U19,V19))</f>
        <v/>
      </c>
      <c r="Y19" t="n">
        <v>0</v>
      </c>
      <c r="Z19" t="n">
        <v>0</v>
      </c>
      <c r="AA19" t="n">
        <v>34</v>
      </c>
      <c r="AB19" s="3">
        <f>SUM(H19,M19,R19,W19)</f>
        <v/>
      </c>
      <c r="AC19" t="inlineStr">
        <is>
          <t>Dr Anuraj Mohan</t>
        </is>
      </c>
      <c r="AD19">
        <f>IF(OR(I19&gt;2,N19&gt;2,S19&gt;2,X19&gt;2),"check variance","")</f>
        <v/>
      </c>
      <c r="AE19" t="inlineStr">
        <is>
          <t>roll</t>
        </is>
      </c>
    </row>
    <row r="20">
      <c r="A20" t="inlineStr">
        <is>
          <t>44</t>
        </is>
      </c>
      <c r="B20" t="inlineStr">
        <is>
          <t>Nayanjith</t>
        </is>
      </c>
      <c r="C20" t="n">
        <v/>
      </c>
      <c r="D20" t="inlineStr">
        <is>
          <t>Speech Emotion Recognition for Smart Companion Robots</t>
        </is>
      </c>
      <c r="E20" s="2" t="n"/>
      <c r="F20" s="2" t="n"/>
      <c r="G20" s="2" t="n">
        <v>9</v>
      </c>
      <c r="H20" s="3">
        <f>IF(COUNTA(E20,F20,G20)=0,"",AVERAGE(E20,F20,G20))</f>
        <v/>
      </c>
      <c r="I20" s="3">
        <f>IF(COUNTA(E20,F20,G20)&lt;2,"",MAX(E20,F20,G20)-MIN(E20,F20,G20))</f>
        <v/>
      </c>
      <c r="J20" s="2" t="n"/>
      <c r="K20" s="2" t="n"/>
      <c r="L20" s="2" t="n">
        <v>10</v>
      </c>
      <c r="M20" s="3">
        <f>IF(COUNTA(J20,K20,L20)=0,"",AVERAGE(J20,K20,L20))</f>
        <v/>
      </c>
      <c r="N20" s="3">
        <f>IF(COUNTA(J20,K20,L20)&lt;2,"",MAX(J20,K20,L20)-MIN(J20,K20,L20))</f>
        <v/>
      </c>
      <c r="O20" s="2" t="n"/>
      <c r="P20" s="2" t="n">
        <v>1</v>
      </c>
      <c r="Q20" s="2" t="n">
        <v>10</v>
      </c>
      <c r="R20" s="3">
        <f>IF(COUNTA(O20,P20,Q20)=0,"",AVERAGE(O20,P20,Q20))</f>
        <v/>
      </c>
      <c r="S20" s="3">
        <f>IF(COUNTA(O20,P20,Q20)&lt;2,"",MAX(O20,P20,Q20)-MIN(O20,P20,Q20))</f>
        <v/>
      </c>
      <c r="T20" s="2" t="n">
        <v>2</v>
      </c>
      <c r="U20" s="2" t="n"/>
      <c r="V20" s="2" t="n">
        <v>10</v>
      </c>
      <c r="W20" s="3">
        <f>IF(COUNTA(T20,U20,V20)=0,"",AVERAGE(T20,U20,V20))</f>
        <v/>
      </c>
      <c r="X20" s="3">
        <f>IF(COUNTA(T20,U20,V20)&lt;2,"",MAX(T20,U20,V20)-MIN(T20,U20,V20))</f>
        <v/>
      </c>
      <c r="Y20" t="n">
        <v>0</v>
      </c>
      <c r="Z20" t="n">
        <v>0</v>
      </c>
      <c r="AA20" t="n">
        <v>39</v>
      </c>
      <c r="AB20" s="3">
        <f>SUM(H20,M20,R20,W20)</f>
        <v/>
      </c>
      <c r="AC20" t="inlineStr">
        <is>
          <t>SKS</t>
        </is>
      </c>
      <c r="AD20">
        <f>IF(OR(I20&gt;2,N20&gt;2,S20&gt;2,X20&gt;2),"check variance","")</f>
        <v/>
      </c>
      <c r="AE20" t="inlineStr">
        <is>
          <t>roll</t>
        </is>
      </c>
    </row>
    <row r="21">
      <c r="A21" t="inlineStr">
        <is>
          <t>47</t>
        </is>
      </c>
      <c r="B21" t="inlineStr">
        <is>
          <t>Niyalurahman K K</t>
        </is>
      </c>
      <c r="C21" t="n">
        <v/>
      </c>
      <c r="D21" t="inlineStr">
        <is>
          <t>NFT Licensing for AI/ML Models: Ownership and Monetization on the Blockchain</t>
        </is>
      </c>
      <c r="E21" s="2" t="n"/>
      <c r="F21" s="2" t="n"/>
      <c r="G21" s="2" t="n">
        <v>10</v>
      </c>
      <c r="H21" s="3">
        <f>IF(COUNTA(E21,F21,G21)=0,"",AVERAGE(E21,F21,G21))</f>
        <v/>
      </c>
      <c r="I21" s="3">
        <f>IF(COUNTA(E21,F21,G21)&lt;2,"",MAX(E21,F21,G21)-MIN(E21,F21,G21))</f>
        <v/>
      </c>
      <c r="J21" s="2" t="n"/>
      <c r="K21" s="2" t="n"/>
      <c r="L21" s="2" t="n">
        <v>10</v>
      </c>
      <c r="M21" s="3">
        <f>IF(COUNTA(J21,K21,L21)=0,"",AVERAGE(J21,K21,L21))</f>
        <v/>
      </c>
      <c r="N21" s="3">
        <f>IF(COUNTA(J21,K21,L21)&lt;2,"",MAX(J21,K21,L21)-MIN(J21,K21,L21))</f>
        <v/>
      </c>
      <c r="O21" s="2" t="n"/>
      <c r="P21" s="2" t="n">
        <v>1</v>
      </c>
      <c r="Q21" s="2" t="n">
        <v>10</v>
      </c>
      <c r="R21" s="3">
        <f>IF(COUNTA(O21,P21,Q21)=0,"",AVERAGE(O21,P21,Q21))</f>
        <v/>
      </c>
      <c r="S21" s="3">
        <f>IF(COUNTA(O21,P21,Q21)&lt;2,"",MAX(O21,P21,Q21)-MIN(O21,P21,Q21))</f>
        <v/>
      </c>
      <c r="T21" s="2" t="n">
        <v>4</v>
      </c>
      <c r="U21" s="2" t="n"/>
      <c r="V21" s="2" t="n">
        <v>10</v>
      </c>
      <c r="W21" s="3">
        <f>IF(COUNTA(T21,U21,V21)=0,"",AVERAGE(T21,U21,V21))</f>
        <v/>
      </c>
      <c r="X21" s="3">
        <f>IF(COUNTA(T21,U21,V21)&lt;2,"",MAX(T21,U21,V21)-MIN(T21,U21,V21))</f>
        <v/>
      </c>
      <c r="Y21" t="n">
        <v>0</v>
      </c>
      <c r="Z21" t="n">
        <v>0</v>
      </c>
      <c r="AA21" t="n">
        <v>40</v>
      </c>
      <c r="AB21" s="3">
        <f>SUM(H21,M21,R21,W21)</f>
        <v/>
      </c>
      <c r="AC21" t="inlineStr">
        <is>
          <t>Kiran V K</t>
        </is>
      </c>
      <c r="AD21">
        <f>IF(OR(I21&gt;2,N21&gt;2,S21&gt;2,X21&gt;2),"check variance","")</f>
        <v/>
      </c>
      <c r="AE21" t="inlineStr">
        <is>
          <t>roll</t>
        </is>
      </c>
    </row>
    <row r="22">
      <c r="A22" t="inlineStr">
        <is>
          <t>49</t>
        </is>
      </c>
      <c r="B22" t="inlineStr">
        <is>
          <t>Rameesa K T</t>
        </is>
      </c>
      <c r="C22" t="n">
        <v/>
      </c>
      <c r="D22" t="inlineStr">
        <is>
          <t>Blockchain-Driven Secure Data Auditing for Cloud Storage Systems</t>
        </is>
      </c>
      <c r="E22" s="2" t="n">
        <v>7</v>
      </c>
      <c r="F22" s="2" t="n">
        <v>9</v>
      </c>
      <c r="G22" s="2" t="n"/>
      <c r="H22" s="3">
        <f>IF(COUNTA(E22,F22,G22)=0,"",AVERAGE(E22,F22,G22))</f>
        <v/>
      </c>
      <c r="I22" s="3">
        <f>IF(COUNTA(E22,F22,G22)&lt;2,"",MAX(E22,F22,G22)-MIN(E22,F22,G22))</f>
        <v/>
      </c>
      <c r="J22" s="2" t="n">
        <v>7</v>
      </c>
      <c r="K22" s="2" t="n">
        <v>9</v>
      </c>
      <c r="L22" s="2" t="n"/>
      <c r="M22" s="3">
        <f>IF(COUNTA(J22,K22,L22)=0,"",AVERAGE(J22,K22,L22))</f>
        <v/>
      </c>
      <c r="N22" s="3">
        <f>IF(COUNTA(J22,K22,L22)&lt;2,"",MAX(J22,K22,L22)-MIN(J22,K22,L22))</f>
        <v/>
      </c>
      <c r="O22" s="2" t="n">
        <v>8</v>
      </c>
      <c r="P22" s="2" t="n"/>
      <c r="Q22" s="2" t="n"/>
      <c r="R22" s="3">
        <f>IF(COUNTA(O22,P22,Q22)=0,"",AVERAGE(O22,P22,Q22))</f>
        <v/>
      </c>
      <c r="S22" s="3">
        <f>IF(COUNTA(O22,P22,Q22)&lt;2,"",MAX(O22,P22,Q22)-MIN(O22,P22,Q22))</f>
        <v/>
      </c>
      <c r="T22" s="2" t="n">
        <v>2</v>
      </c>
      <c r="U22" s="2" t="n"/>
      <c r="V22" s="2" t="n"/>
      <c r="W22" s="3">
        <f>IF(COUNTA(T22,U22,V22)=0,"",AVERAGE(T22,U22,V22))</f>
        <v/>
      </c>
      <c r="X22" s="3">
        <f>IF(COUNTA(T22,U22,V22)&lt;2,"",MAX(T22,U22,V22)-MIN(T22,U22,V22))</f>
        <v/>
      </c>
      <c r="Y22" t="n">
        <v>0</v>
      </c>
      <c r="Z22" t="n">
        <v>0</v>
      </c>
      <c r="AA22" t="n">
        <v>0</v>
      </c>
      <c r="AB22" s="3">
        <f>SUM(H22,M22,R22,W22)</f>
        <v/>
      </c>
      <c r="AC22" t="inlineStr">
        <is>
          <t>Dr Sindhu S</t>
        </is>
      </c>
      <c r="AD22">
        <f>IF(OR(I22&gt;2,N22&gt;2,S22&gt;2,X22&gt;2),"check variance","")</f>
        <v/>
      </c>
      <c r="AE22" t="inlineStr">
        <is>
          <t>roll</t>
        </is>
      </c>
    </row>
    <row r="23">
      <c r="A23" t="inlineStr">
        <is>
          <t>5</t>
        </is>
      </c>
      <c r="B23" t="inlineStr">
        <is>
          <t>Abhishek M S</t>
        </is>
      </c>
      <c r="C23" t="n">
        <v/>
      </c>
      <c r="D23" t="inlineStr">
        <is>
          <t>Privacy preserving federated learning</t>
        </is>
      </c>
      <c r="E23" s="2" t="n"/>
      <c r="F23" s="2" t="n"/>
      <c r="G23" s="2" t="n"/>
      <c r="H23" s="3">
        <f>IF(COUNTA(E23,F23,G23)=0,"",AVERAGE(E23,F23,G23))</f>
        <v/>
      </c>
      <c r="I23" s="3">
        <f>IF(COUNTA(E23,F23,G23)&lt;2,"",MAX(E23,F23,G23)-MIN(E23,F23,G23))</f>
        <v/>
      </c>
      <c r="J23" s="2" t="n"/>
      <c r="K23" s="2" t="n"/>
      <c r="L23" s="2" t="n"/>
      <c r="M23" s="3">
        <f>IF(COUNTA(J23,K23,L23)=0,"",AVERAGE(J23,K23,L23))</f>
        <v/>
      </c>
      <c r="N23" s="3">
        <f>IF(COUNTA(J23,K23,L23)&lt;2,"",MAX(J23,K23,L23)-MIN(J23,K23,L23))</f>
        <v/>
      </c>
      <c r="O23" s="2" t="n"/>
      <c r="P23" s="2" t="n">
        <v>1</v>
      </c>
      <c r="Q23" s="2" t="n"/>
      <c r="R23" s="3">
        <f>IF(COUNTA(O23,P23,Q23)=0,"",AVERAGE(O23,P23,Q23))</f>
        <v/>
      </c>
      <c r="S23" s="3">
        <f>IF(COUNTA(O23,P23,Q23)&lt;2,"",MAX(O23,P23,Q23)-MIN(O23,P23,Q23))</f>
        <v/>
      </c>
      <c r="T23" s="2" t="n">
        <v>2</v>
      </c>
      <c r="U23" s="2" t="n"/>
      <c r="V23" s="2" t="n"/>
      <c r="W23" s="3">
        <f>IF(COUNTA(T23,U23,V23)=0,"",AVERAGE(T23,U23,V23))</f>
        <v/>
      </c>
      <c r="X23" s="3">
        <f>IF(COUNTA(T23,U23,V23)&lt;2,"",MAX(T23,U23,V23)-MIN(T23,U23,V23))</f>
        <v/>
      </c>
      <c r="Y23" t="n">
        <v>0</v>
      </c>
      <c r="Z23" t="n">
        <v>0</v>
      </c>
      <c r="AA23" t="n">
        <v>0</v>
      </c>
      <c r="AB23" s="3">
        <f>SUM(H23,M23,R23,W23)</f>
        <v/>
      </c>
      <c r="AC23" t="inlineStr">
        <is>
          <t>VK</t>
        </is>
      </c>
      <c r="AD23">
        <f>IF(OR(I23&gt;2,N23&gt;2,S23&gt;2,X23&gt;2),"check variance","")</f>
        <v/>
      </c>
      <c r="AE23" t="inlineStr">
        <is>
          <t>roll</t>
        </is>
      </c>
    </row>
    <row r="24">
      <c r="A24" t="inlineStr">
        <is>
          <t>50</t>
        </is>
      </c>
      <c r="B24" t="inlineStr">
        <is>
          <t>Rayhana S</t>
        </is>
      </c>
      <c r="C24" t="n">
        <v/>
      </c>
      <c r="D24" t="inlineStr">
        <is>
          <t>Mitigating Hallucinations in Vision-Language Models: A Comparative Study of CLIP-Guided Decoding and Multi-Path Reasoning</t>
        </is>
      </c>
      <c r="E24" s="2" t="n">
        <v>9</v>
      </c>
      <c r="F24" s="2" t="n"/>
      <c r="G24" s="2" t="n"/>
      <c r="H24" s="3">
        <f>IF(COUNTA(E24,F24,G24)=0,"",AVERAGE(E24,F24,G24))</f>
        <v/>
      </c>
      <c r="I24" s="3">
        <f>IF(COUNTA(E24,F24,G24)&lt;2,"",MAX(E24,F24,G24)-MIN(E24,F24,G24))</f>
        <v/>
      </c>
      <c r="J24" s="2" t="n">
        <v>10</v>
      </c>
      <c r="K24" s="2" t="n"/>
      <c r="L24" s="2" t="n"/>
      <c r="M24" s="3">
        <f>IF(COUNTA(J24,K24,L24)=0,"",AVERAGE(J24,K24,L24))</f>
        <v/>
      </c>
      <c r="N24" s="3">
        <f>IF(COUNTA(J24,K24,L24)&lt;2,"",MAX(J24,K24,L24)-MIN(J24,K24,L24))</f>
        <v/>
      </c>
      <c r="O24" s="2" t="n">
        <v>10</v>
      </c>
      <c r="P24" s="2" t="n"/>
      <c r="Q24" s="2" t="n"/>
      <c r="R24" s="3">
        <f>IF(COUNTA(O24,P24,Q24)=0,"",AVERAGE(O24,P24,Q24))</f>
        <v/>
      </c>
      <c r="S24" s="3">
        <f>IF(COUNTA(O24,P24,Q24)&lt;2,"",MAX(O24,P24,Q24)-MIN(O24,P24,Q24))</f>
        <v/>
      </c>
      <c r="T24" s="2" t="n">
        <v>1</v>
      </c>
      <c r="U24" s="2" t="n"/>
      <c r="V24" s="2" t="n"/>
      <c r="W24" s="3">
        <f>IF(COUNTA(T24,U24,V24)=0,"",AVERAGE(T24,U24,V24))</f>
        <v/>
      </c>
      <c r="X24" s="3">
        <f>IF(COUNTA(T24,U24,V24)&lt;2,"",MAX(T24,U24,V24)-MIN(T24,U24,V24))</f>
        <v/>
      </c>
      <c r="Y24" t="n">
        <v>0</v>
      </c>
      <c r="Z24" t="n">
        <v>0</v>
      </c>
      <c r="AA24" t="n">
        <v>0</v>
      </c>
      <c r="AB24" s="3">
        <f>SUM(H24,M24,R24,W24)</f>
        <v/>
      </c>
      <c r="AC24" t="inlineStr">
        <is>
          <t>Dr Anuraj Mohan</t>
        </is>
      </c>
      <c r="AD24">
        <f>IF(OR(I24&gt;2,N24&gt;2,S24&gt;2,X24&gt;2),"check variance","")</f>
        <v/>
      </c>
      <c r="AE24" t="inlineStr">
        <is>
          <t>roll</t>
        </is>
      </c>
    </row>
    <row r="25">
      <c r="A25" t="inlineStr">
        <is>
          <t>51</t>
        </is>
      </c>
      <c r="B25" t="inlineStr">
        <is>
          <t>Riya S</t>
        </is>
      </c>
      <c r="C25" t="n">
        <v/>
      </c>
      <c r="D25" t="inlineStr">
        <is>
          <t>Benchmarking the Base: Evaluating Large Language Models for Phishing Detection Without Fine Tuning</t>
        </is>
      </c>
      <c r="E25" s="2" t="n">
        <v>8</v>
      </c>
      <c r="F25" s="2" t="n"/>
      <c r="G25" s="2" t="n">
        <v>8</v>
      </c>
      <c r="H25" s="3">
        <f>IF(COUNTA(E25,F25,G25)=0,"",AVERAGE(E25,F25,G25))</f>
        <v/>
      </c>
      <c r="I25" s="3">
        <f>IF(COUNTA(E25,F25,G25)&lt;2,"",MAX(E25,F25,G25)-MIN(E25,F25,G25))</f>
        <v/>
      </c>
      <c r="J25" s="2" t="n">
        <v>8</v>
      </c>
      <c r="K25" s="2" t="n"/>
      <c r="L25" s="2" t="n">
        <v>8</v>
      </c>
      <c r="M25" s="3">
        <f>IF(COUNTA(J25,K25,L25)=0,"",AVERAGE(J25,K25,L25))</f>
        <v/>
      </c>
      <c r="N25" s="3">
        <f>IF(COUNTA(J25,K25,L25)&lt;2,"",MAX(J25,K25,L25)-MIN(J25,K25,L25))</f>
        <v/>
      </c>
      <c r="O25" s="2" t="n">
        <v>8</v>
      </c>
      <c r="P25" s="2" t="n">
        <v>1</v>
      </c>
      <c r="Q25" s="2" t="n">
        <v>9.5</v>
      </c>
      <c r="R25" s="3">
        <f>IF(COUNTA(O25,P25,Q25)=0,"",AVERAGE(O25,P25,Q25))</f>
        <v/>
      </c>
      <c r="S25" s="3">
        <f>IF(COUNTA(O25,P25,Q25)&lt;2,"",MAX(O25,P25,Q25)-MIN(O25,P25,Q25))</f>
        <v/>
      </c>
      <c r="T25" s="2" t="n">
        <v>1</v>
      </c>
      <c r="U25" s="2" t="n"/>
      <c r="V25" s="2" t="n">
        <v>9.5</v>
      </c>
      <c r="W25" s="3">
        <f>IF(COUNTA(T25,U25,V25)=0,"",AVERAGE(T25,U25,V25))</f>
        <v/>
      </c>
      <c r="X25" s="3">
        <f>IF(COUNTA(T25,U25,V25)&lt;2,"",MAX(T25,U25,V25)-MIN(T25,U25,V25))</f>
        <v/>
      </c>
      <c r="Y25" t="n">
        <v>0</v>
      </c>
      <c r="Z25" t="n">
        <v>0</v>
      </c>
      <c r="AA25" t="n">
        <v>35</v>
      </c>
      <c r="AB25" s="3">
        <f>SUM(H25,M25,R25,W25)</f>
        <v/>
      </c>
      <c r="AC25" t="inlineStr">
        <is>
          <t>Dr Maya Mohan</t>
        </is>
      </c>
      <c r="AD25">
        <f>IF(OR(I25&gt;2,N25&gt;2,S25&gt;2,X25&gt;2),"check variance","")</f>
        <v/>
      </c>
      <c r="AE25" t="inlineStr">
        <is>
          <t>roll</t>
        </is>
      </c>
    </row>
    <row r="26">
      <c r="A26" t="inlineStr">
        <is>
          <t>53</t>
        </is>
      </c>
      <c r="B26" t="inlineStr">
        <is>
          <t>Rohan C Alben</t>
        </is>
      </c>
      <c r="C26" t="n">
        <v/>
      </c>
      <c r="D26" t="inlineStr">
        <is>
          <t>Cross Modal Attention</t>
        </is>
      </c>
      <c r="E26" s="2" t="n"/>
      <c r="F26" s="2" t="n"/>
      <c r="G26" s="2" t="n"/>
      <c r="H26" s="3">
        <f>IF(COUNTA(E26,F26,G26)=0,"",AVERAGE(E26,F26,G26))</f>
        <v/>
      </c>
      <c r="I26" s="3">
        <f>IF(COUNTA(E26,F26,G26)&lt;2,"",MAX(E26,F26,G26)-MIN(E26,F26,G26))</f>
        <v/>
      </c>
      <c r="J26" s="2" t="n"/>
      <c r="K26" s="2" t="n"/>
      <c r="L26" s="2" t="n"/>
      <c r="M26" s="3">
        <f>IF(COUNTA(J26,K26,L26)=0,"",AVERAGE(J26,K26,L26))</f>
        <v/>
      </c>
      <c r="N26" s="3">
        <f>IF(COUNTA(J26,K26,L26)&lt;2,"",MAX(J26,K26,L26)-MIN(J26,K26,L26))</f>
        <v/>
      </c>
      <c r="O26" s="2" t="n"/>
      <c r="P26" s="2" t="n"/>
      <c r="Q26" s="2" t="n"/>
      <c r="R26" s="3">
        <f>IF(COUNTA(O26,P26,Q26)=0,"",AVERAGE(O26,P26,Q26))</f>
        <v/>
      </c>
      <c r="S26" s="3">
        <f>IF(COUNTA(O26,P26,Q26)&lt;2,"",MAX(O26,P26,Q26)-MIN(O26,P26,Q26))</f>
        <v/>
      </c>
      <c r="T26" s="2" t="n">
        <v>1</v>
      </c>
      <c r="U26" s="2" t="n"/>
      <c r="V26" s="2" t="n"/>
      <c r="W26" s="3">
        <f>IF(COUNTA(T26,U26,V26)=0,"",AVERAGE(T26,U26,V26))</f>
        <v/>
      </c>
      <c r="X26" s="3">
        <f>IF(COUNTA(T26,U26,V26)&lt;2,"",MAX(T26,U26,V26)-MIN(T26,U26,V26))</f>
        <v/>
      </c>
      <c r="Y26" t="n">
        <v>0</v>
      </c>
      <c r="Z26" t="n">
        <v>0</v>
      </c>
      <c r="AA26" t="n">
        <v>0</v>
      </c>
      <c r="AB26" s="3">
        <f>SUM(H26,M26,R26,W26)</f>
        <v/>
      </c>
      <c r="AC26" t="inlineStr">
        <is>
          <t>Dr Viji Rajendran</t>
        </is>
      </c>
      <c r="AD26">
        <f>IF(OR(I26&gt;2,N26&gt;2,S26&gt;2,X26&gt;2),"check variance","")</f>
        <v/>
      </c>
      <c r="AE26" t="inlineStr">
        <is>
          <t>roll</t>
        </is>
      </c>
    </row>
    <row r="27">
      <c r="A27" t="inlineStr">
        <is>
          <t>55</t>
        </is>
      </c>
      <c r="B27" t="inlineStr">
        <is>
          <t>Sasank M</t>
        </is>
      </c>
      <c r="C27" t="n">
        <v/>
      </c>
      <c r="D27" t="inlineStr">
        <is>
          <t>IPFS + Blockchain: Off-Chain Storage and On-Chain Proofs for AI Models</t>
        </is>
      </c>
      <c r="E27" s="2" t="n"/>
      <c r="F27" s="2" t="n"/>
      <c r="G27" s="2" t="n">
        <v>8</v>
      </c>
      <c r="H27" s="3">
        <f>IF(COUNTA(E27,F27,G27)=0,"",AVERAGE(E27,F27,G27))</f>
        <v/>
      </c>
      <c r="I27" s="3">
        <f>IF(COUNTA(E27,F27,G27)&lt;2,"",MAX(E27,F27,G27)-MIN(E27,F27,G27))</f>
        <v/>
      </c>
      <c r="J27" s="2" t="n"/>
      <c r="K27" s="2" t="n"/>
      <c r="L27" s="2" t="n">
        <v>9</v>
      </c>
      <c r="M27" s="3">
        <f>IF(COUNTA(J27,K27,L27)=0,"",AVERAGE(J27,K27,L27))</f>
        <v/>
      </c>
      <c r="N27" s="3">
        <f>IF(COUNTA(J27,K27,L27)&lt;2,"",MAX(J27,K27,L27)-MIN(J27,K27,L27))</f>
        <v/>
      </c>
      <c r="O27" s="2" t="n"/>
      <c r="P27" s="2" t="n"/>
      <c r="Q27" s="2" t="n">
        <v>9</v>
      </c>
      <c r="R27" s="3">
        <f>IF(COUNTA(O27,P27,Q27)=0,"",AVERAGE(O27,P27,Q27))</f>
        <v/>
      </c>
      <c r="S27" s="3">
        <f>IF(COUNTA(O27,P27,Q27)&lt;2,"",MAX(O27,P27,Q27)-MIN(O27,P27,Q27))</f>
        <v/>
      </c>
      <c r="T27" s="2" t="n">
        <v>1</v>
      </c>
      <c r="U27" s="2" t="n"/>
      <c r="V27" s="2" t="n">
        <v>9</v>
      </c>
      <c r="W27" s="3">
        <f>IF(COUNTA(T27,U27,V27)=0,"",AVERAGE(T27,U27,V27))</f>
        <v/>
      </c>
      <c r="X27" s="3">
        <f>IF(COUNTA(T27,U27,V27)&lt;2,"",MAX(T27,U27,V27)-MIN(T27,U27,V27))</f>
        <v/>
      </c>
      <c r="Y27" t="n">
        <v>0</v>
      </c>
      <c r="Z27" t="n">
        <v>0</v>
      </c>
      <c r="AA27" t="n">
        <v>35</v>
      </c>
      <c r="AB27" s="3">
        <f>SUM(H27,M27,R27,W27)</f>
        <v/>
      </c>
      <c r="AC27" t="inlineStr">
        <is>
          <t>Kiran V K</t>
        </is>
      </c>
      <c r="AD27">
        <f>IF(OR(I27&gt;2,N27&gt;2,S27&gt;2,X27&gt;2),"check variance","")</f>
        <v/>
      </c>
      <c r="AE27" t="inlineStr">
        <is>
          <t>roll</t>
        </is>
      </c>
    </row>
    <row r="28">
      <c r="A28" t="inlineStr">
        <is>
          <t>56</t>
        </is>
      </c>
      <c r="B28" t="inlineStr">
        <is>
          <t>Sreejith M Varma</t>
        </is>
      </c>
      <c r="C28" t="n">
        <v/>
      </c>
      <c r="D28" t="inlineStr">
        <is>
          <t>Integrating Fine-Grained Preferences With Entity Centric Methods To Combat LVLM Hallucinations</t>
        </is>
      </c>
      <c r="E28" s="2" t="n">
        <v>7</v>
      </c>
      <c r="F28" s="2" t="n"/>
      <c r="G28" s="2" t="n">
        <v>8</v>
      </c>
      <c r="H28" s="3">
        <f>IF(COUNTA(E28,F28,G28)=0,"",AVERAGE(E28,F28,G28))</f>
        <v/>
      </c>
      <c r="I28" s="3">
        <f>IF(COUNTA(E28,F28,G28)&lt;2,"",MAX(E28,F28,G28)-MIN(E28,F28,G28))</f>
        <v/>
      </c>
      <c r="J28" s="2" t="n">
        <v>8</v>
      </c>
      <c r="K28" s="2" t="n"/>
      <c r="L28" s="2" t="n">
        <v>9</v>
      </c>
      <c r="M28" s="3">
        <f>IF(COUNTA(J28,K28,L28)=0,"",AVERAGE(J28,K28,L28))</f>
        <v/>
      </c>
      <c r="N28" s="3">
        <f>IF(COUNTA(J28,K28,L28)&lt;2,"",MAX(J28,K28,L28)-MIN(J28,K28,L28))</f>
        <v/>
      </c>
      <c r="O28" s="2" t="n">
        <v>10</v>
      </c>
      <c r="P28" s="2" t="n"/>
      <c r="Q28" s="2" t="n">
        <v>10</v>
      </c>
      <c r="R28" s="3">
        <f>IF(COUNTA(O28,P28,Q28)=0,"",AVERAGE(O28,P28,Q28))</f>
        <v/>
      </c>
      <c r="S28" s="3">
        <f>IF(COUNTA(O28,P28,Q28)&lt;2,"",MAX(O28,P28,Q28)-MIN(O28,P28,Q28))</f>
        <v/>
      </c>
      <c r="T28" s="2" t="n">
        <v>2</v>
      </c>
      <c r="U28" s="2" t="n"/>
      <c r="V28" s="2" t="n">
        <v>9</v>
      </c>
      <c r="W28" s="3">
        <f>IF(COUNTA(T28,U28,V28)=0,"",AVERAGE(T28,U28,V28))</f>
        <v/>
      </c>
      <c r="X28" s="3">
        <f>IF(COUNTA(T28,U28,V28)&lt;2,"",MAX(T28,U28,V28)-MIN(T28,U28,V28))</f>
        <v/>
      </c>
      <c r="Y28" t="n">
        <v>0</v>
      </c>
      <c r="Z28" t="n">
        <v>0</v>
      </c>
      <c r="AA28" t="n">
        <v>36</v>
      </c>
      <c r="AB28" s="3">
        <f>SUM(H28,M28,R28,W28)</f>
        <v/>
      </c>
      <c r="AC28" t="inlineStr">
        <is>
          <t>Dr Anuraj Mohan</t>
        </is>
      </c>
      <c r="AD28">
        <f>IF(OR(I28&gt;2,N28&gt;2,S28&gt;2,X28&gt;2),"check variance","")</f>
        <v/>
      </c>
      <c r="AE28" t="inlineStr">
        <is>
          <t>roll</t>
        </is>
      </c>
    </row>
    <row r="29">
      <c r="A29" t="inlineStr">
        <is>
          <t>57</t>
        </is>
      </c>
      <c r="B29" t="inlineStr">
        <is>
          <t>S Thejaswini</t>
        </is>
      </c>
      <c r="C29" t="n">
        <v/>
      </c>
      <c r="D29" t="inlineStr">
        <is>
          <t>Harnessing LLMs for Intelligent Phishing Detection: Moving Beyond Classical ML and DL</t>
        </is>
      </c>
      <c r="E29" s="2" t="n">
        <v>9</v>
      </c>
      <c r="F29" s="2" t="n"/>
      <c r="G29" s="2" t="n">
        <v>9.5</v>
      </c>
      <c r="H29" s="3">
        <f>IF(COUNTA(E29,F29,G29)=0,"",AVERAGE(E29,F29,G29))</f>
        <v/>
      </c>
      <c r="I29" s="3">
        <f>IF(COUNTA(E29,F29,G29)&lt;2,"",MAX(E29,F29,G29)-MIN(E29,F29,G29))</f>
        <v/>
      </c>
      <c r="J29" s="2" t="n">
        <v>9</v>
      </c>
      <c r="K29" s="2" t="n"/>
      <c r="L29" s="2" t="n">
        <v>9.5</v>
      </c>
      <c r="M29" s="3">
        <f>IF(COUNTA(J29,K29,L29)=0,"",AVERAGE(J29,K29,L29))</f>
        <v/>
      </c>
      <c r="N29" s="3">
        <f>IF(COUNTA(J29,K29,L29)&lt;2,"",MAX(J29,K29,L29)-MIN(J29,K29,L29))</f>
        <v/>
      </c>
      <c r="O29" s="2" t="n">
        <v>9</v>
      </c>
      <c r="P29" s="2" t="n">
        <v>1</v>
      </c>
      <c r="Q29" s="2" t="n">
        <v>9.5</v>
      </c>
      <c r="R29" s="3">
        <f>IF(COUNTA(O29,P29,Q29)=0,"",AVERAGE(O29,P29,Q29))</f>
        <v/>
      </c>
      <c r="S29" s="3">
        <f>IF(COUNTA(O29,P29,Q29)&lt;2,"",MAX(O29,P29,Q29)-MIN(O29,P29,Q29))</f>
        <v/>
      </c>
      <c r="T29" s="2" t="n">
        <v>3</v>
      </c>
      <c r="U29" s="2" t="n"/>
      <c r="V29" s="2" t="n">
        <v>10</v>
      </c>
      <c r="W29" s="3">
        <f>IF(COUNTA(T29,U29,V29)=0,"",AVERAGE(T29,U29,V29))</f>
        <v/>
      </c>
      <c r="X29" s="3">
        <f>IF(COUNTA(T29,U29,V29)&lt;2,"",MAX(T29,U29,V29)-MIN(T29,U29,V29))</f>
        <v/>
      </c>
      <c r="Y29" t="n">
        <v>0</v>
      </c>
      <c r="Z29" t="n">
        <v>0</v>
      </c>
      <c r="AA29" t="n">
        <v>38.5</v>
      </c>
      <c r="AB29" s="3">
        <f>SUM(H29,M29,R29,W29)</f>
        <v/>
      </c>
      <c r="AC29" t="inlineStr">
        <is>
          <t>Dr Maya Mohan</t>
        </is>
      </c>
      <c r="AD29">
        <f>IF(OR(I29&gt;2,N29&gt;2,S29&gt;2,X29&gt;2),"check variance","")</f>
        <v/>
      </c>
      <c r="AE29" t="inlineStr">
        <is>
          <t>roll</t>
        </is>
      </c>
    </row>
    <row r="30">
      <c r="A30" t="inlineStr">
        <is>
          <t>59</t>
        </is>
      </c>
      <c r="B30" t="inlineStr">
        <is>
          <t>Theertha Santhosh</t>
        </is>
      </c>
      <c r="C30" t="n">
        <v/>
      </c>
      <c r="D30" t="inlineStr">
        <is>
          <t>Cryptographic Mechanism for Secure Health Record Verification in Blockchain-Based Systems</t>
        </is>
      </c>
      <c r="E30" s="2" t="n">
        <v>9</v>
      </c>
      <c r="F30" s="2" t="n">
        <v>9</v>
      </c>
      <c r="G30" s="2" t="n"/>
      <c r="H30" s="3">
        <f>IF(COUNTA(E30,F30,G30)=0,"",AVERAGE(E30,F30,G30))</f>
        <v/>
      </c>
      <c r="I30" s="3">
        <f>IF(COUNTA(E30,F30,G30)&lt;2,"",MAX(E30,F30,G30)-MIN(E30,F30,G30))</f>
        <v/>
      </c>
      <c r="J30" s="2" t="n">
        <v>8</v>
      </c>
      <c r="K30" s="2" t="n">
        <v>8</v>
      </c>
      <c r="L30" s="2" t="n"/>
      <c r="M30" s="3">
        <f>IF(COUNTA(J30,K30,L30)=0,"",AVERAGE(J30,K30,L30))</f>
        <v/>
      </c>
      <c r="N30" s="3">
        <f>IF(COUNTA(J30,K30,L30)&lt;2,"",MAX(J30,K30,L30)-MIN(J30,K30,L30))</f>
        <v/>
      </c>
      <c r="O30" s="2" t="n">
        <v>7</v>
      </c>
      <c r="P30" s="2" t="n">
        <v>8</v>
      </c>
      <c r="Q30" s="2" t="n"/>
      <c r="R30" s="3">
        <f>IF(COUNTA(O30,P30,Q30)=0,"",AVERAGE(O30,P30,Q30))</f>
        <v/>
      </c>
      <c r="S30" s="3">
        <f>IF(COUNTA(O30,P30,Q30)&lt;2,"",MAX(O30,P30,Q30)-MIN(O30,P30,Q30))</f>
        <v/>
      </c>
      <c r="T30" s="2" t="n">
        <v>2</v>
      </c>
      <c r="U30" s="2" t="n">
        <v>1</v>
      </c>
      <c r="V30" s="2" t="n"/>
      <c r="W30" s="3">
        <f>IF(COUNTA(T30,U30,V30)=0,"",AVERAGE(T30,U30,V30))</f>
        <v/>
      </c>
      <c r="X30" s="3">
        <f>IF(COUNTA(T30,U30,V30)&lt;2,"",MAX(T30,U30,V30)-MIN(T30,U30,V30))</f>
        <v/>
      </c>
      <c r="Y30" t="n">
        <v>0</v>
      </c>
      <c r="Z30" t="n">
        <v>34</v>
      </c>
      <c r="AA30" t="n">
        <v>0</v>
      </c>
      <c r="AB30" s="3">
        <f>SUM(H30,M30,R30,W30)</f>
        <v/>
      </c>
      <c r="AC30" t="inlineStr">
        <is>
          <t>Usha K</t>
        </is>
      </c>
      <c r="AD30">
        <f>IF(OR(I30&gt;2,N30&gt;2,S30&gt;2,X30&gt;2),"check variance","")</f>
        <v/>
      </c>
      <c r="AE30" t="inlineStr">
        <is>
          <t>roll</t>
        </is>
      </c>
    </row>
    <row r="31">
      <c r="A31" t="inlineStr">
        <is>
          <t>6</t>
        </is>
      </c>
      <c r="B31" t="inlineStr">
        <is>
          <t>Abhishek S</t>
        </is>
      </c>
      <c r="C31" t="n">
        <v/>
      </c>
      <c r="D31" t="inlineStr">
        <is>
          <t>SECURING HEALTHCARE DATA WITH HYPERLEDGER FABRIC</t>
        </is>
      </c>
      <c r="E31" s="2" t="n">
        <v>8</v>
      </c>
      <c r="F31" s="2" t="n">
        <v>8</v>
      </c>
      <c r="G31" s="2" t="n"/>
      <c r="H31" s="3">
        <f>IF(COUNTA(E31,F31,G31)=0,"",AVERAGE(E31,F31,G31))</f>
        <v/>
      </c>
      <c r="I31" s="3">
        <f>IF(COUNTA(E31,F31,G31)&lt;2,"",MAX(E31,F31,G31)-MIN(E31,F31,G31))</f>
        <v/>
      </c>
      <c r="J31" s="2" t="n">
        <v>7</v>
      </c>
      <c r="K31" s="2" t="n">
        <v>8</v>
      </c>
      <c r="L31" s="2" t="n"/>
      <c r="M31" s="3">
        <f>IF(COUNTA(J31,K31,L31)=0,"",AVERAGE(J31,K31,L31))</f>
        <v/>
      </c>
      <c r="N31" s="3">
        <f>IF(COUNTA(J31,K31,L31)&lt;2,"",MAX(J31,K31,L31)-MIN(J31,K31,L31))</f>
        <v/>
      </c>
      <c r="O31" s="2" t="n">
        <v>8</v>
      </c>
      <c r="P31" s="2" t="n">
        <v>8</v>
      </c>
      <c r="Q31" s="2" t="n"/>
      <c r="R31" s="3">
        <f>IF(COUNTA(O31,P31,Q31)=0,"",AVERAGE(O31,P31,Q31))</f>
        <v/>
      </c>
      <c r="S31" s="3">
        <f>IF(COUNTA(O31,P31,Q31)&lt;2,"",MAX(O31,P31,Q31)-MIN(O31,P31,Q31))</f>
        <v/>
      </c>
      <c r="T31" s="2" t="n">
        <v>4</v>
      </c>
      <c r="U31" s="2" t="n">
        <v>1</v>
      </c>
      <c r="V31" s="2" t="n"/>
      <c r="W31" s="3">
        <f>IF(COUNTA(T31,U31,V31)=0,"",AVERAGE(T31,U31,V31))</f>
        <v/>
      </c>
      <c r="X31" s="3">
        <f>IF(COUNTA(T31,U31,V31)&lt;2,"",MAX(T31,U31,V31)-MIN(T31,U31,V31))</f>
        <v/>
      </c>
      <c r="Y31" t="n">
        <v>0</v>
      </c>
      <c r="Z31" t="n">
        <v>32</v>
      </c>
      <c r="AA31" t="n">
        <v>0</v>
      </c>
      <c r="AB31" s="3">
        <f>SUM(H31,M31,R31,W31)</f>
        <v/>
      </c>
      <c r="AC31" t="inlineStr">
        <is>
          <t>Usha K</t>
        </is>
      </c>
      <c r="AD31">
        <f>IF(OR(I31&gt;2,N31&gt;2,S31&gt;2,X31&gt;2),"check variance","")</f>
        <v/>
      </c>
      <c r="AE31" t="inlineStr">
        <is>
          <t>roll</t>
        </is>
      </c>
    </row>
    <row r="32">
      <c r="A32" t="inlineStr">
        <is>
          <t>62</t>
        </is>
      </c>
      <c r="B32" t="inlineStr">
        <is>
          <t>Vaishnav Gopal</t>
        </is>
      </c>
      <c r="C32" t="n">
        <v/>
      </c>
      <c r="D32" t="inlineStr">
        <is>
          <t>Mitigating Hallucinations in Large Vision-Language Models: A Comparative Analysis of Decoding Strategies</t>
        </is>
      </c>
      <c r="E32" s="2" t="n">
        <v>8</v>
      </c>
      <c r="F32" s="2" t="n"/>
      <c r="G32" s="2" t="n"/>
      <c r="H32" s="3">
        <f>IF(COUNTA(E32,F32,G32)=0,"",AVERAGE(E32,F32,G32))</f>
        <v/>
      </c>
      <c r="I32" s="3">
        <f>IF(COUNTA(E32,F32,G32)&lt;2,"",MAX(E32,F32,G32)-MIN(E32,F32,G32))</f>
        <v/>
      </c>
      <c r="J32" s="2" t="n">
        <v>9</v>
      </c>
      <c r="K32" s="2" t="n"/>
      <c r="L32" s="2" t="n"/>
      <c r="M32" s="3">
        <f>IF(COUNTA(J32,K32,L32)=0,"",AVERAGE(J32,K32,L32))</f>
        <v/>
      </c>
      <c r="N32" s="3">
        <f>IF(COUNTA(J32,K32,L32)&lt;2,"",MAX(J32,K32,L32)-MIN(J32,K32,L32))</f>
        <v/>
      </c>
      <c r="O32" s="2" t="n">
        <v>10</v>
      </c>
      <c r="P32" s="2" t="n"/>
      <c r="Q32" s="2" t="n"/>
      <c r="R32" s="3">
        <f>IF(COUNTA(O32,P32,Q32)=0,"",AVERAGE(O32,P32,Q32))</f>
        <v/>
      </c>
      <c r="S32" s="3">
        <f>IF(COUNTA(O32,P32,Q32)&lt;2,"",MAX(O32,P32,Q32)-MIN(O32,P32,Q32))</f>
        <v/>
      </c>
      <c r="T32" s="2" t="n"/>
      <c r="U32" s="2" t="n"/>
      <c r="V32" s="2" t="n"/>
      <c r="W32" s="3">
        <f>IF(COUNTA(T32,U32,V32)=0,"",AVERAGE(T32,U32,V32))</f>
        <v/>
      </c>
      <c r="X32" s="3">
        <f>IF(COUNTA(T32,U32,V32)&lt;2,"",MAX(T32,U32,V32)-MIN(T32,U32,V32))</f>
        <v/>
      </c>
      <c r="Y32" t="n">
        <v>0</v>
      </c>
      <c r="Z32" t="n">
        <v>0</v>
      </c>
      <c r="AA32" t="n">
        <v>0</v>
      </c>
      <c r="AB32" s="3">
        <f>SUM(H32,M32,R32,W32)</f>
        <v/>
      </c>
      <c r="AC32" t="inlineStr">
        <is>
          <t>Dr Anuraj Mohan</t>
        </is>
      </c>
      <c r="AD32">
        <f>IF(OR(I32&gt;2,N32&gt;2,S32&gt;2,X32&gt;2),"check variance","")</f>
        <v/>
      </c>
      <c r="AE32" t="inlineStr">
        <is>
          <t>roll</t>
        </is>
      </c>
    </row>
    <row r="33">
      <c r="A33" t="inlineStr">
        <is>
          <t>64</t>
        </is>
      </c>
      <c r="B33" t="inlineStr">
        <is>
          <t>Vishnu M</t>
        </is>
      </c>
      <c r="C33" t="n">
        <v/>
      </c>
      <c r="D33" t="inlineStr">
        <is>
          <t>Digital Transformation in Healthcare: Challenges, Solutions, and Security</t>
        </is>
      </c>
      <c r="E33" s="2" t="n">
        <v>10</v>
      </c>
      <c r="F33" s="2" t="n">
        <v>9</v>
      </c>
      <c r="G33" s="2" t="n"/>
      <c r="H33" s="3">
        <f>IF(COUNTA(E33,F33,G33)=0,"",AVERAGE(E33,F33,G33))</f>
        <v/>
      </c>
      <c r="I33" s="3">
        <f>IF(COUNTA(E33,F33,G33)&lt;2,"",MAX(E33,F33,G33)-MIN(E33,F33,G33))</f>
        <v/>
      </c>
      <c r="J33" s="2" t="n">
        <v>9</v>
      </c>
      <c r="K33" s="2" t="n">
        <v>9</v>
      </c>
      <c r="L33" s="2" t="n"/>
      <c r="M33" s="3">
        <f>IF(COUNTA(J33,K33,L33)=0,"",AVERAGE(J33,K33,L33))</f>
        <v/>
      </c>
      <c r="N33" s="3">
        <f>IF(COUNTA(J33,K33,L33)&lt;2,"",MAX(J33,K33,L33)-MIN(J33,K33,L33))</f>
        <v/>
      </c>
      <c r="O33" s="2" t="n">
        <v>8</v>
      </c>
      <c r="P33" s="2" t="n">
        <v>9</v>
      </c>
      <c r="Q33" s="2" t="n"/>
      <c r="R33" s="3">
        <f>IF(COUNTA(O33,P33,Q33)=0,"",AVERAGE(O33,P33,Q33))</f>
        <v/>
      </c>
      <c r="S33" s="3">
        <f>IF(COUNTA(O33,P33,Q33)&lt;2,"",MAX(O33,P33,Q33)-MIN(O33,P33,Q33))</f>
        <v/>
      </c>
      <c r="T33" s="2" t="n">
        <v>3</v>
      </c>
      <c r="U33" s="2" t="n">
        <v>1</v>
      </c>
      <c r="V33" s="2" t="n"/>
      <c r="W33" s="3">
        <f>IF(COUNTA(T33,U33,V33)=0,"",AVERAGE(T33,U33,V33))</f>
        <v/>
      </c>
      <c r="X33" s="3">
        <f>IF(COUNTA(T33,U33,V33)&lt;2,"",MAX(T33,U33,V33)-MIN(T33,U33,V33))</f>
        <v/>
      </c>
      <c r="Y33" t="n">
        <v>0</v>
      </c>
      <c r="Z33" t="n">
        <v>36</v>
      </c>
      <c r="AA33" t="n">
        <v>0</v>
      </c>
      <c r="AB33" s="3">
        <f>SUM(H33,M33,R33,W33)</f>
        <v/>
      </c>
      <c r="AC33" t="inlineStr">
        <is>
          <t>Usha K</t>
        </is>
      </c>
      <c r="AD33">
        <f>IF(OR(I33&gt;2,N33&gt;2,S33&gt;2,X33&gt;2),"check variance","")</f>
        <v/>
      </c>
      <c r="AE33" t="inlineStr">
        <is>
          <t>roll</t>
        </is>
      </c>
    </row>
    <row r="34">
      <c r="A34" t="inlineStr">
        <is>
          <t>66</t>
        </is>
      </c>
      <c r="B34" t="inlineStr">
        <is>
          <t>Shamil A</t>
        </is>
      </c>
      <c r="C34" t="n">
        <v/>
      </c>
      <c r="D34" t="inlineStr">
        <is>
          <t>Multilayer Perceptron</t>
        </is>
      </c>
      <c r="E34" s="2" t="n"/>
      <c r="F34" s="2" t="n"/>
      <c r="G34" s="2" t="n"/>
      <c r="H34" s="3">
        <f>IF(COUNTA(E34,F34,G34)=0,"",AVERAGE(E34,F34,G34))</f>
        <v/>
      </c>
      <c r="I34" s="3">
        <f>IF(COUNTA(E34,F34,G34)&lt;2,"",MAX(E34,F34,G34)-MIN(E34,F34,G34))</f>
        <v/>
      </c>
      <c r="J34" s="2" t="n"/>
      <c r="K34" s="2" t="n"/>
      <c r="L34" s="2" t="n"/>
      <c r="M34" s="3">
        <f>IF(COUNTA(J34,K34,L34)=0,"",AVERAGE(J34,K34,L34))</f>
        <v/>
      </c>
      <c r="N34" s="3">
        <f>IF(COUNTA(J34,K34,L34)&lt;2,"",MAX(J34,K34,L34)-MIN(J34,K34,L34))</f>
        <v/>
      </c>
      <c r="O34" s="2" t="n"/>
      <c r="P34" s="2" t="n">
        <v>2</v>
      </c>
      <c r="Q34" s="2" t="n"/>
      <c r="R34" s="3">
        <f>IF(COUNTA(O34,P34,Q34)=0,"",AVERAGE(O34,P34,Q34))</f>
        <v/>
      </c>
      <c r="S34" s="3">
        <f>IF(COUNTA(O34,P34,Q34)&lt;2,"",MAX(O34,P34,Q34)-MIN(O34,P34,Q34))</f>
        <v/>
      </c>
      <c r="T34" s="2" t="n"/>
      <c r="U34" s="2" t="n"/>
      <c r="V34" s="2" t="n"/>
      <c r="W34" s="3">
        <f>IF(COUNTA(T34,U34,V34)=0,"",AVERAGE(T34,U34,V34))</f>
        <v/>
      </c>
      <c r="X34" s="3">
        <f>IF(COUNTA(T34,U34,V34)&lt;2,"",MAX(T34,U34,V34)-MIN(T34,U34,V34))</f>
        <v/>
      </c>
      <c r="Y34" t="n">
        <v>0</v>
      </c>
      <c r="Z34" t="n">
        <v>0</v>
      </c>
      <c r="AA34" t="n">
        <v>0</v>
      </c>
      <c r="AB34" s="3">
        <f>SUM(H34,M34,R34,W34)</f>
        <v/>
      </c>
      <c r="AC34" t="inlineStr">
        <is>
          <t>Dr Viji Rajendran</t>
        </is>
      </c>
      <c r="AD34">
        <f>IF(OR(I34&gt;2,N34&gt;2,S34&gt;2,X34&gt;2),"check variance","")</f>
        <v/>
      </c>
      <c r="AE34" t="inlineStr">
        <is>
          <t>roll</t>
        </is>
      </c>
    </row>
    <row r="35">
      <c r="A35" t="inlineStr">
        <is>
          <t>67</t>
        </is>
      </c>
      <c r="B35" t="inlineStr">
        <is>
          <t>Ameya Shyju M</t>
        </is>
      </c>
      <c r="C35" t="n">
        <v/>
      </c>
      <c r="D35" t="inlineStr">
        <is>
          <t>Blockchain &amp; Trust Mechanisms for AI Marketplaces</t>
        </is>
      </c>
      <c r="E35" s="2" t="n"/>
      <c r="F35" s="2" t="n"/>
      <c r="G35" s="2" t="n">
        <v>9</v>
      </c>
      <c r="H35" s="3">
        <f>IF(COUNTA(E35,F35,G35)=0,"",AVERAGE(E35,F35,G35))</f>
        <v/>
      </c>
      <c r="I35" s="3">
        <f>IF(COUNTA(E35,F35,G35)&lt;2,"",MAX(E35,F35,G35)-MIN(E35,F35,G35))</f>
        <v/>
      </c>
      <c r="J35" s="2" t="n"/>
      <c r="K35" s="2" t="n"/>
      <c r="L35" s="2" t="n">
        <v>9</v>
      </c>
      <c r="M35" s="3">
        <f>IF(COUNTA(J35,K35,L35)=0,"",AVERAGE(J35,K35,L35))</f>
        <v/>
      </c>
      <c r="N35" s="3">
        <f>IF(COUNTA(J35,K35,L35)&lt;2,"",MAX(J35,K35,L35)-MIN(J35,K35,L35))</f>
        <v/>
      </c>
      <c r="O35" s="2" t="n"/>
      <c r="P35" s="2" t="n"/>
      <c r="Q35" s="2" t="n">
        <v>9</v>
      </c>
      <c r="R35" s="3">
        <f>IF(COUNTA(O35,P35,Q35)=0,"",AVERAGE(O35,P35,Q35))</f>
        <v/>
      </c>
      <c r="S35" s="3">
        <f>IF(COUNTA(O35,P35,Q35)&lt;2,"",MAX(O35,P35,Q35)-MIN(O35,P35,Q35))</f>
        <v/>
      </c>
      <c r="T35" s="2" t="n">
        <v>1</v>
      </c>
      <c r="U35" s="2" t="n"/>
      <c r="V35" s="2" t="n">
        <v>10</v>
      </c>
      <c r="W35" s="3">
        <f>IF(COUNTA(T35,U35,V35)=0,"",AVERAGE(T35,U35,V35))</f>
        <v/>
      </c>
      <c r="X35" s="3">
        <f>IF(COUNTA(T35,U35,V35)&lt;2,"",MAX(T35,U35,V35)-MIN(T35,U35,V35))</f>
        <v/>
      </c>
      <c r="Y35" t="n">
        <v>0</v>
      </c>
      <c r="Z35" t="n">
        <v>0</v>
      </c>
      <c r="AA35" t="n">
        <v>37</v>
      </c>
      <c r="AB35" s="3">
        <f>SUM(H35,M35,R35,W35)</f>
        <v/>
      </c>
      <c r="AC35" t="inlineStr">
        <is>
          <t>Kiran V K</t>
        </is>
      </c>
      <c r="AD35">
        <f>IF(OR(I35&gt;2,N35&gt;2,S35&gt;2,X35&gt;2),"check variance","")</f>
        <v/>
      </c>
      <c r="AE35" t="inlineStr">
        <is>
          <t>roll</t>
        </is>
      </c>
    </row>
    <row r="36">
      <c r="A36" t="inlineStr">
        <is>
          <t>72</t>
        </is>
      </c>
      <c r="B36" t="inlineStr">
        <is>
          <t>Sneha D</t>
        </is>
      </c>
      <c r="C36" t="n">
        <v/>
      </c>
      <c r="D36" t="inlineStr">
        <is>
          <t>Figure 2.0: The Future of Human-Robot Interaction</t>
        </is>
      </c>
      <c r="E36" s="2" t="n"/>
      <c r="F36" s="2" t="n"/>
      <c r="G36" s="2" t="n">
        <v>9</v>
      </c>
      <c r="H36" s="3">
        <f>IF(COUNTA(E36,F36,G36)=0,"",AVERAGE(E36,F36,G36))</f>
        <v/>
      </c>
      <c r="I36" s="3">
        <f>IF(COUNTA(E36,F36,G36)&lt;2,"",MAX(E36,F36,G36)-MIN(E36,F36,G36))</f>
        <v/>
      </c>
      <c r="J36" s="2" t="n"/>
      <c r="K36" s="2" t="n"/>
      <c r="L36" s="2" t="n">
        <v>9</v>
      </c>
      <c r="M36" s="3">
        <f>IF(COUNTA(J36,K36,L36)=0,"",AVERAGE(J36,K36,L36))</f>
        <v/>
      </c>
      <c r="N36" s="3">
        <f>IF(COUNTA(J36,K36,L36)&lt;2,"",MAX(J36,K36,L36)-MIN(J36,K36,L36))</f>
        <v/>
      </c>
      <c r="O36" s="2" t="n"/>
      <c r="P36" s="2" t="n"/>
      <c r="Q36" s="2" t="n">
        <v>10</v>
      </c>
      <c r="R36" s="3">
        <f>IF(COUNTA(O36,P36,Q36)=0,"",AVERAGE(O36,P36,Q36))</f>
        <v/>
      </c>
      <c r="S36" s="3">
        <f>IF(COUNTA(O36,P36,Q36)&lt;2,"",MAX(O36,P36,Q36)-MIN(O36,P36,Q36))</f>
        <v/>
      </c>
      <c r="T36" s="2" t="n">
        <v>2</v>
      </c>
      <c r="U36" s="2" t="n"/>
      <c r="V36" s="2" t="n">
        <v>10</v>
      </c>
      <c r="W36" s="3">
        <f>IF(COUNTA(T36,U36,V36)=0,"",AVERAGE(T36,U36,V36))</f>
        <v/>
      </c>
      <c r="X36" s="3">
        <f>IF(COUNTA(T36,U36,V36)&lt;2,"",MAX(T36,U36,V36)-MIN(T36,U36,V36))</f>
        <v/>
      </c>
      <c r="Y36" t="n">
        <v>0</v>
      </c>
      <c r="Z36" t="n">
        <v>0</v>
      </c>
      <c r="AA36" t="n">
        <v>38</v>
      </c>
      <c r="AB36" s="3">
        <f>SUM(H36,M36,R36,W36)</f>
        <v/>
      </c>
      <c r="AC36" t="inlineStr">
        <is>
          <t>SKS</t>
        </is>
      </c>
      <c r="AD36">
        <f>IF(OR(I36&gt;2,N36&gt;2,S36&gt;2,X36&gt;2),"check variance","")</f>
        <v/>
      </c>
      <c r="AE36" t="inlineStr">
        <is>
          <t>roll</t>
        </is>
      </c>
    </row>
    <row r="37">
      <c r="A37" t="inlineStr">
        <is>
          <t>9</t>
        </is>
      </c>
      <c r="B37" t="inlineStr">
        <is>
          <t>Adithyan Marikkal</t>
        </is>
      </c>
      <c r="C37" t="n">
        <v/>
      </c>
      <c r="D37" t="inlineStr">
        <is>
          <t>Attacks on IoT</t>
        </is>
      </c>
      <c r="E37" s="2" t="n"/>
      <c r="F37" s="2" t="n"/>
      <c r="G37" s="2" t="n"/>
      <c r="H37" s="3">
        <f>IF(COUNTA(E37,F37,G37)=0,"",AVERAGE(E37,F37,G37))</f>
        <v/>
      </c>
      <c r="I37" s="3">
        <f>IF(COUNTA(E37,F37,G37)&lt;2,"",MAX(E37,F37,G37)-MIN(E37,F37,G37))</f>
        <v/>
      </c>
      <c r="J37" s="2" t="n"/>
      <c r="K37" s="2" t="n"/>
      <c r="L37" s="2" t="n"/>
      <c r="M37" s="3">
        <f>IF(COUNTA(J37,K37,L37)=0,"",AVERAGE(J37,K37,L37))</f>
        <v/>
      </c>
      <c r="N37" s="3">
        <f>IF(COUNTA(J37,K37,L37)&lt;2,"",MAX(J37,K37,L37)-MIN(J37,K37,L37))</f>
        <v/>
      </c>
      <c r="O37" s="2" t="n"/>
      <c r="P37" s="2" t="n">
        <v>1</v>
      </c>
      <c r="Q37" s="2" t="n"/>
      <c r="R37" s="3">
        <f>IF(COUNTA(O37,P37,Q37)=0,"",AVERAGE(O37,P37,Q37))</f>
        <v/>
      </c>
      <c r="S37" s="3">
        <f>IF(COUNTA(O37,P37,Q37)&lt;2,"",MAX(O37,P37,Q37)-MIN(O37,P37,Q37))</f>
        <v/>
      </c>
      <c r="T37" s="2" t="n">
        <v>2</v>
      </c>
      <c r="U37" s="2" t="n"/>
      <c r="V37" s="2" t="n"/>
      <c r="W37" s="3">
        <f>IF(COUNTA(T37,U37,V37)=0,"",AVERAGE(T37,U37,V37))</f>
        <v/>
      </c>
      <c r="X37" s="3">
        <f>IF(COUNTA(T37,U37,V37)&lt;2,"",MAX(T37,U37,V37)-MIN(T37,U37,V37))</f>
        <v/>
      </c>
      <c r="Y37" t="n">
        <v>0</v>
      </c>
      <c r="Z37" t="n">
        <v>0</v>
      </c>
      <c r="AA37" t="n">
        <v>0</v>
      </c>
      <c r="AB37" s="3">
        <f>SUM(H37,M37,R37,W37)</f>
        <v/>
      </c>
      <c r="AC37" t="inlineStr">
        <is>
          <t>VK</t>
        </is>
      </c>
      <c r="AD37">
        <f>IF(OR(I37&gt;2,N37&gt;2,S37&gt;2,X37&gt;2),"check variance","")</f>
        <v/>
      </c>
      <c r="AE37" t="inlineStr">
        <is>
          <t>roll</t>
        </is>
      </c>
    </row>
  </sheetData>
  <autoFilter ref="A1:AE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2025-10-23T19:37:48Z</dcterms:created>
  <dcterms:modified xmlns:dcterms="http://purl.org/dc/terms/" xmlns:xsi="http://www.w3.org/2001/XMLSchema-instance" xsi:type="dcterms:W3CDTF">2025-10-23T19:37:48Z</dcterms:modified>
</cp:coreProperties>
</file>